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cosm\Google Drive\Macbook\Documents\Monte_carlo\setup_files\"/>
    </mc:Choice>
  </mc:AlternateContent>
  <bookViews>
    <workbookView xWindow="0" yWindow="0" windowWidth="14370" windowHeight="6915" xr2:uid="{00000000-000D-0000-FFFF-FFFF00000000}"/>
  </bookViews>
  <sheets>
    <sheet name="SS Lookup" sheetId="1" r:id="rId1"/>
    <sheet name="SS Optimize" sheetId="2" r:id="rId2"/>
    <sheet name="Value of Def" sheetId="3" r:id="rId3"/>
  </sheets>
  <functionGroups builtInGroupCount="19"/>
  <calcPr calcId="171027"/>
</workbook>
</file>

<file path=xl/calcChain.xml><?xml version="1.0" encoding="utf-8"?>
<calcChain xmlns="http://schemas.openxmlformats.org/spreadsheetml/2006/main">
  <c r="J15" i="1" l="1"/>
  <c r="J61" i="1"/>
  <c r="I61" i="1"/>
  <c r="J68" i="1"/>
  <c r="I68" i="1"/>
  <c r="I12" i="1"/>
  <c r="I19" i="1"/>
  <c r="K68" i="1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2" i="2"/>
  <c r="B5" i="3"/>
  <c r="C5" i="3" s="1"/>
  <c r="B6" i="3"/>
  <c r="C6" i="3" s="1"/>
  <c r="B7" i="3"/>
  <c r="C7" i="3" s="1"/>
  <c r="B8" i="3"/>
  <c r="C8" i="3" s="1"/>
  <c r="B9" i="3"/>
  <c r="C9" i="3" s="1"/>
  <c r="B10" i="3"/>
  <c r="C10" i="3" s="1"/>
  <c r="B11" i="3"/>
  <c r="C11" i="3" s="1"/>
  <c r="B12" i="3"/>
  <c r="C12" i="3" s="1"/>
  <c r="B13" i="3"/>
  <c r="C13" i="3" s="1"/>
  <c r="B14" i="3"/>
  <c r="C14" i="3" s="1"/>
  <c r="B15" i="3"/>
  <c r="C15" i="3" s="1"/>
  <c r="B16" i="3"/>
  <c r="C16" i="3" s="1"/>
  <c r="B17" i="3"/>
  <c r="C17" i="3" s="1"/>
  <c r="B18" i="3"/>
  <c r="C18" i="3" s="1"/>
  <c r="B19" i="3"/>
  <c r="C19" i="3" s="1"/>
  <c r="B20" i="3"/>
  <c r="C20" i="3" s="1"/>
  <c r="B21" i="3"/>
  <c r="C21" i="3" s="1"/>
  <c r="B22" i="3"/>
  <c r="C22" i="3" s="1"/>
  <c r="B23" i="3"/>
  <c r="C23" i="3" s="1"/>
  <c r="B24" i="3"/>
  <c r="C24" i="3" s="1"/>
  <c r="B25" i="3"/>
  <c r="C25" i="3" s="1"/>
  <c r="B26" i="3"/>
  <c r="C26" i="3" s="1"/>
  <c r="B27" i="3"/>
  <c r="C27" i="3" s="1"/>
  <c r="B28" i="3"/>
  <c r="C28" i="3" s="1"/>
  <c r="B29" i="3"/>
  <c r="C29" i="3" s="1"/>
  <c r="B30" i="3"/>
  <c r="C30" i="3" s="1"/>
  <c r="B31" i="3"/>
  <c r="C31" i="3" s="1"/>
  <c r="B32" i="3"/>
  <c r="C32" i="3" s="1"/>
  <c r="B33" i="3"/>
  <c r="C33" i="3" s="1"/>
  <c r="B34" i="3"/>
  <c r="C34" i="3" s="1"/>
  <c r="B35" i="3"/>
  <c r="C35" i="3" s="1"/>
  <c r="B4" i="3"/>
  <c r="C4" i="3" s="1"/>
  <c r="H15" i="2"/>
  <c r="D10" i="3" l="1"/>
  <c r="D25" i="3"/>
  <c r="H19" i="2"/>
  <c r="G8" i="2"/>
  <c r="I8" i="2" s="1"/>
  <c r="D35" i="3"/>
  <c r="D23" i="3"/>
  <c r="D24" i="3"/>
  <c r="D5" i="3"/>
  <c r="D30" i="3"/>
  <c r="D18" i="3"/>
  <c r="D6" i="3"/>
  <c r="D11" i="3"/>
  <c r="D12" i="3"/>
  <c r="D13" i="3"/>
  <c r="D26" i="3"/>
  <c r="D14" i="3"/>
  <c r="H16" i="2"/>
  <c r="D31" i="3"/>
  <c r="D19" i="3"/>
  <c r="D7" i="3"/>
  <c r="D32" i="3"/>
  <c r="D20" i="3"/>
  <c r="D8" i="3"/>
  <c r="D33" i="3"/>
  <c r="D21" i="3"/>
  <c r="D9" i="3"/>
  <c r="D22" i="3"/>
  <c r="D34" i="3"/>
  <c r="D27" i="3"/>
  <c r="D15" i="3"/>
  <c r="D28" i="3"/>
  <c r="D16" i="3"/>
  <c r="D29" i="3"/>
  <c r="D17" i="3"/>
  <c r="J8" i="2" l="1"/>
  <c r="K8" i="2"/>
  <c r="H8" i="2"/>
  <c r="I7" i="2" l="1"/>
</calcChain>
</file>

<file path=xl/sharedStrings.xml><?xml version="1.0" encoding="utf-8"?>
<sst xmlns="http://schemas.openxmlformats.org/spreadsheetml/2006/main" count="1599" uniqueCount="814">
  <si>
    <t>1/12/2017 8:57:18.769190 PM</t>
  </si>
  <si>
    <t>1/12/2017 8:57:08.641035 PM</t>
  </si>
  <si>
    <t>1/12/2017 8:57:05.405009 PM</t>
  </si>
  <si>
    <t>1/12/2017 8:56:51.180813 PM</t>
  </si>
  <si>
    <t>1/12/2017 8:56:44.354824 PM</t>
  </si>
  <si>
    <t>1/12/2017 8:56:44.051443 PM</t>
  </si>
  <si>
    <t>1/12/2017 8:56:55.325032 PM</t>
  </si>
  <si>
    <t>1/12/2017 8:56:50.763150 PM</t>
  </si>
  <si>
    <t>1/12/2017 8:57:03.729377 PM</t>
  </si>
  <si>
    <t>1/12/2017 8:56:51.482682 PM</t>
  </si>
  <si>
    <t>1/12/2017 8:57:17.073360 PM</t>
  </si>
  <si>
    <t>1/12/2017 8:57:11.699210 PM</t>
  </si>
  <si>
    <t>1/12/2017 8:57:05.763125 PM</t>
  </si>
  <si>
    <t>1/12/2017 8:56:51.541080 PM</t>
  </si>
  <si>
    <t>1/12/2017 8:56:48.333338 PM</t>
  </si>
  <si>
    <t>1/12/2017 8:57:24.547308 PM</t>
  </si>
  <si>
    <t>1/12/2017 8:57:13.325286 PM</t>
  </si>
  <si>
    <t>1/12/2017 8:56:59.942177 PM</t>
  </si>
  <si>
    <t>1/12/2017 8:57:26.401141 PM</t>
  </si>
  <si>
    <t>VH_ADT_TIMESTAMP</t>
  </si>
  <si>
    <t>1/12/2017 8:57:22.209340 PM</t>
  </si>
  <si>
    <t>1/12/2017 8:57:08.707216 PM</t>
  </si>
  <si>
    <t>1/12/2017 8:57:04.920917 PM</t>
  </si>
  <si>
    <t>1/12/2017 8:56:52.679015 PM</t>
  </si>
  <si>
    <t>1/12/2017 8:56:52.562922 PM</t>
  </si>
  <si>
    <t>1/12/2017 8:57:26.223366 PM</t>
  </si>
  <si>
    <t>1/12/2017 8:57:00.540951 PM</t>
  </si>
  <si>
    <t>1/12/2017 8:56:58.926958 PM</t>
  </si>
  <si>
    <t>1/12/2017 8:56:53.944830 PM</t>
  </si>
  <si>
    <t>1/12/2017 8:56:50.229798 PM</t>
  </si>
  <si>
    <t>1/12/2017 8:56:42.537154 PM</t>
  </si>
  <si>
    <t>1/12/2017 8:57:01.141746 PM</t>
  </si>
  <si>
    <t>1/12/2017 8:57:13.209025 PM</t>
  </si>
  <si>
    <t>1/12/2017 8:56:51.122720 PM</t>
  </si>
  <si>
    <t>1/12/2017 8:56:57.663046 PM</t>
  </si>
  <si>
    <t>1/12/2017 8:57:21.489482 PM</t>
  </si>
  <si>
    <t>1/12/2017 8:56:42.176917 PM</t>
  </si>
  <si>
    <t>1/12/2017 8:56:43.023383 PM</t>
  </si>
  <si>
    <t>1/12/2017 8:56:48.508820 PM</t>
  </si>
  <si>
    <t>1/12/2017 8:56:49.518722 PM</t>
  </si>
  <si>
    <t>1/12/2017 8:57:23.829404 PM</t>
  </si>
  <si>
    <t>1/12/2017 8:57:26.459156 PM</t>
  </si>
  <si>
    <t>1/12/2017 8:56:46.475084 PM</t>
  </si>
  <si>
    <t>1/12/2017 8:57:11.220985 PM</t>
  </si>
  <si>
    <t>1/12/2017 8:57:05.523949 PM</t>
  </si>
  <si>
    <t>1/12/2017 8:56:57.487660 PM</t>
  </si>
  <si>
    <t>1/12/2017 8:56:54.660963 PM</t>
  </si>
  <si>
    <t>1/12/2017 8:57:14.289727 PM</t>
  </si>
  <si>
    <t>1/12/2017 8:57:10.867267 PM</t>
  </si>
  <si>
    <t>1/12/2017 8:57:10.381276 PM</t>
  </si>
  <si>
    <t>1/12/2017 8:57:08.948149 PM</t>
  </si>
  <si>
    <t>1/12/2017 8:57:08.163050 PM</t>
  </si>
  <si>
    <t>1/12/2017 8:57:03.656990 PM</t>
  </si>
  <si>
    <t>1/12/2017 8:56:39.858071 PM</t>
  </si>
  <si>
    <t>1/12/2017 8:57:20.344101 PM</t>
  </si>
  <si>
    <t>1/12/2017 8:57:00.303123 PM</t>
  </si>
  <si>
    <t>DG_MANUAL</t>
  </si>
  <si>
    <t>1/12/2017 8:57:20.701124 PM</t>
  </si>
  <si>
    <t>1/12/2017 8:57:18.419331 PM</t>
  </si>
  <si>
    <t>1/12/2017 8:57:14.949182 PM</t>
  </si>
  <si>
    <t>1/12/2017 8:57:24.663429 PM</t>
  </si>
  <si>
    <t>1/12/2017 8:56:57.427220 PM</t>
  </si>
  <si>
    <t>1/12/2017 8:56:47.601120 PM</t>
  </si>
  <si>
    <t>1/12/2017 8:56:42.784387 PM</t>
  </si>
  <si>
    <t>1/12/2017 8:57:09.363315 PM</t>
  </si>
  <si>
    <t>1/12/2017 8:57:24.911270 PM</t>
  </si>
  <si>
    <t>1/12/2017 8:57:11.581084 PM</t>
  </si>
  <si>
    <t>1/12/2017 8:57:11.819533 PM</t>
  </si>
  <si>
    <t>1/12/2017 8:57:14.051108 PM</t>
  </si>
  <si>
    <t>1/12/2017 8:57:14.591049 PM</t>
  </si>
  <si>
    <t>1/12/2017 8:56:51.961007 PM</t>
  </si>
  <si>
    <t>1/12/2017 8:56:53.886829 PM</t>
  </si>
  <si>
    <t>1/12/2017 8:56:57.000878 PM</t>
  </si>
  <si>
    <t>1/12/2017 8:56:44.412928 PM</t>
  </si>
  <si>
    <t>1/12/2017 8:56:55.023010 PM</t>
  </si>
  <si>
    <t>1/12/2017 8:57:13.989438 PM</t>
  </si>
  <si>
    <t>1/12/2017 8:57:13.929368 PM</t>
  </si>
  <si>
    <t>1/12/2017 8:56:52.860883 PM</t>
  </si>
  <si>
    <t>1/12/2017 8:57:24.971272 PM</t>
  </si>
  <si>
    <t>1/12/2017 8:56:54.540874 PM</t>
  </si>
  <si>
    <t>1/12/2017 8:57:07.689246 PM</t>
  </si>
  <si>
    <t>1/12/2017 8:56:54.122995 PM</t>
  </si>
  <si>
    <t>1/12/2017 8:56:51.898705 PM</t>
  </si>
  <si>
    <t>1/12/2017 8:56:47.796935 PM</t>
  </si>
  <si>
    <t>1/12/2017 8:57:14.411481 PM</t>
  </si>
  <si>
    <t>1/12/2017 8:57:04.147137 PM</t>
  </si>
  <si>
    <t>1/12/2017 8:57:25.569186 PM</t>
  </si>
  <si>
    <t>1/12/2017 8:57:25.323733 PM</t>
  </si>
  <si>
    <t>1/12/2017 8:57:20.887316 PM</t>
  </si>
  <si>
    <t>1/12/2017 8:57:19.925110 PM</t>
  </si>
  <si>
    <t>1/12/2017 8:57:18.711367 PM</t>
  </si>
  <si>
    <t>1/12/2017 8:57:13.267058 PM</t>
  </si>
  <si>
    <t>1/12/2017 8:56:45.534705 PM</t>
  </si>
  <si>
    <t>1/12/2017 8:57:21.909920 PM</t>
  </si>
  <si>
    <t>1/12/2017 8:56:59.701368 PM</t>
  </si>
  <si>
    <t>1/12/2017 8:56:47.189171 PM</t>
  </si>
  <si>
    <t>1/12/2017 8:57:23.103224 PM</t>
  </si>
  <si>
    <t>1/12/2017 8:57:09.183124 PM</t>
  </si>
  <si>
    <t>1/12/2017 8:56:48.742935 PM</t>
  </si>
  <si>
    <t>1/12/2017 8:57:15.907223 PM</t>
  </si>
  <si>
    <t>1/12/2017 8:56:58.081192 PM</t>
  </si>
  <si>
    <t>1/12/2017 8:56:50.703068 PM</t>
  </si>
  <si>
    <t>1/12/2017 8:56:50.582900 PM</t>
  </si>
  <si>
    <t>1/12/2017 8:57:14.349095 PM</t>
  </si>
  <si>
    <t>1/12/2017 8:57:02.519209 PM</t>
  </si>
  <si>
    <t>1/12/2017 8:57:00.187019 PM</t>
  </si>
  <si>
    <t>1/12/2017 8:56:49.398778 PM</t>
  </si>
  <si>
    <t>1/12/2017 8:56:48.682871 PM</t>
  </si>
  <si>
    <t>1/12/2017 8:56:53.398840 PM</t>
  </si>
  <si>
    <t>1/12/2017 8:57:12.541182 PM</t>
  </si>
  <si>
    <t>1/12/2017 8:56:39.676664 PM</t>
  </si>
  <si>
    <t>1/12/2017 8:57:21.181204 PM</t>
  </si>
  <si>
    <t>1/12/2017 8:57:21.005231 PM</t>
  </si>
  <si>
    <t>1/12/2017 8:57:00.899410 PM</t>
  </si>
  <si>
    <t>1/12/2017 8:56:39.557363 PM</t>
  </si>
  <si>
    <t>1/12/2017 8:57:06.059500 PM</t>
  </si>
  <si>
    <t>1/12/2017 8:57:02.581611 PM</t>
  </si>
  <si>
    <t>1/12/2017 8:56:57.605028 PM</t>
  </si>
  <si>
    <t>1/12/2017 8:56:57.368968 PM</t>
  </si>
  <si>
    <t>1/12/2017 8:57:04.379057 PM</t>
  </si>
  <si>
    <t>1/12/2017 8:56:55.560920 PM</t>
  </si>
  <si>
    <t>1/12/2017 8:56:41.690593 PM</t>
  </si>
  <si>
    <t>1/12/2017 8:57:04.743176 PM</t>
  </si>
  <si>
    <t>1/12/2017 8:56:54.003702 PM</t>
  </si>
  <si>
    <t>1/12/2017 8:57:25.383250 PM</t>
  </si>
  <si>
    <t>1/12/2017 8:57:15.549000 PM</t>
  </si>
  <si>
    <t>1/12/2017 8:57:03.480912 PM</t>
  </si>
  <si>
    <t>1/12/2017 8:56:53.103749 PM</t>
  </si>
  <si>
    <t>1/12/2017 8:56:50.462835 PM</t>
  </si>
  <si>
    <t>1/12/2017 8:57:25.751234 PM</t>
  </si>
  <si>
    <t>1/12/2017 8:57:23.529454 PM</t>
  </si>
  <si>
    <t>1/12/2017 8:57:06.361099 PM</t>
  </si>
  <si>
    <t>1/12/2017 8:56:55.858907 PM</t>
  </si>
  <si>
    <t>1/12/2017 8:57:21.423325 PM</t>
  </si>
  <si>
    <t>1/12/2017 8:56:54.958898 PM</t>
  </si>
  <si>
    <t>1/12/2017 8:57:13.809374 PM</t>
  </si>
  <si>
    <t>1/12/2017 8:57:03.118879 PM</t>
  </si>
  <si>
    <t>1/12/2017 8:56:42.474982 PM</t>
  </si>
  <si>
    <t>1/12/2017 8:57:23.589342 PM</t>
  </si>
  <si>
    <t>1/12/2017 8:56:42.357170 PM</t>
  </si>
  <si>
    <t>1/12/2017 8:57:00.127673 PM</t>
  </si>
  <si>
    <t>1/12/2017 8:56:54.298761 PM</t>
  </si>
  <si>
    <t>1/12/2017 8:56:47.976937 PM</t>
  </si>
  <si>
    <t>1/12/2017 8:56:43.286729 PM</t>
  </si>
  <si>
    <t>1/12/2017 8:57:04.685108 PM</t>
  </si>
  <si>
    <t>1/12/2017 8:56:58.383112 PM</t>
  </si>
  <si>
    <t>1/12/2017 8:57:24.121571 PM</t>
  </si>
  <si>
    <t>1/12/2017 8:56:40.332708 PM</t>
  </si>
  <si>
    <t>1/12/2017 8:56:39.916840 PM</t>
  </si>
  <si>
    <t>1/12/2017 8:57:23.349248 PM</t>
  </si>
  <si>
    <t>1/12/2017 8:57:06.119331 PM</t>
  </si>
  <si>
    <t>1/12/2017 8:57:02.880945 PM</t>
  </si>
  <si>
    <t>1/12/2017 8:56:39.734981 PM</t>
  </si>
  <si>
    <t>1/12/2017 8:57:05.110900 PM</t>
  </si>
  <si>
    <t>1/12/2017 8:57:12.721092 PM</t>
  </si>
  <si>
    <t>1/12/2017 8:56:58.443046 PM</t>
  </si>
  <si>
    <t>1/12/2017 8:57:23.409091 PM</t>
  </si>
  <si>
    <t>1/12/2017 8:57:20.103091 PM</t>
  </si>
  <si>
    <t>1/12/2017 8:57:10.261169 PM</t>
  </si>
  <si>
    <t>1/12/2017 8:57:07.079046 PM</t>
  </si>
  <si>
    <t>1/12/2017 8:57:03.299128 PM</t>
  </si>
  <si>
    <t>1/12/2017 8:57:00.478849 PM</t>
  </si>
  <si>
    <t>1/12/2017 8:56:42.902815 PM</t>
  </si>
  <si>
    <t>1/12/2017 8:57:10.083600 PM</t>
  </si>
  <si>
    <t>1/12/2017 8:56:55.265720 PM</t>
  </si>
  <si>
    <t>1/12/2017 8:56:41.096693 PM</t>
  </si>
  <si>
    <t>1/12/2017 8:57:10.143070 PM</t>
  </si>
  <si>
    <t>1/12/2017 8:56:56.101354 PM</t>
  </si>
  <si>
    <t>1/12/2017 8:56:45.946684 PM</t>
  </si>
  <si>
    <t>1/12/2017 8:56:42.057047 PM</t>
  </si>
  <si>
    <t>1/12/2017 8:56:40.800854 PM</t>
  </si>
  <si>
    <t>1/12/2017 8:57:09.963548 PM</t>
  </si>
  <si>
    <t>1/12/2017 8:56:57.546992 PM</t>
  </si>
  <si>
    <t>1/12/2017 8:56:52.326870 PM</t>
  </si>
  <si>
    <t>1/12/2017 8:56:40.564705 PM</t>
  </si>
  <si>
    <t>1/12/2017 8:57:22.327393 PM</t>
  </si>
  <si>
    <t>1/12/2017 8:57:05.169177 PM</t>
  </si>
  <si>
    <t>1/12/2017 8:56:43.874902 PM</t>
  </si>
  <si>
    <t>1/12/2017 8:57:17.471560 PM</t>
  </si>
  <si>
    <t>1/12/2017 8:56:48.215096 PM</t>
  </si>
  <si>
    <t>1/12/2017 8:56:44.589264 PM</t>
  </si>
  <si>
    <t>1/12/2017 8:57:23.947142 PM</t>
  </si>
  <si>
    <t>1/12/2017 8:56:49.165010 PM</t>
  </si>
  <si>
    <t>1/12/2017 8:57:25.149163 PM</t>
  </si>
  <si>
    <t>1/12/2017 8:57:14.889427 PM</t>
  </si>
  <si>
    <t>1/12/2017 8:57:24.005155 PM</t>
  </si>
  <si>
    <t>1/12/2017 8:57:21.307592 PM</t>
  </si>
  <si>
    <t>1/12/2017 8:56:59.761268 PM</t>
  </si>
  <si>
    <t>1/12/2017 8:56:57.121005 PM</t>
  </si>
  <si>
    <t>1/12/2017 8:56:41.337365 PM</t>
  </si>
  <si>
    <t>1/12/2017 8:56:39.976612 PM</t>
  </si>
  <si>
    <t>1/12/2017 8:56:56.159085 PM</t>
  </si>
  <si>
    <t>1/12/2017 8:56:44.706965 PM</t>
  </si>
  <si>
    <t>1/12/2017 8:57:17.013137 PM</t>
  </si>
  <si>
    <t>1/12/2017 8:57:16.285072 PM</t>
  </si>
  <si>
    <t>1/12/2017 8:57:08.403125 PM</t>
  </si>
  <si>
    <t>1/12/2017 8:57:19.983146 PM</t>
  </si>
  <si>
    <t>1/12/2017 8:57:18.947288 PM</t>
  </si>
  <si>
    <t>1/12/2017 8:57:18.067396 PM</t>
  </si>
  <si>
    <t>1/12/2017 8:56:59.284962 PM</t>
  </si>
  <si>
    <t>1/12/2017 8:56:55.141156 PM</t>
  </si>
  <si>
    <t>1/12/2017 8:56:57.060843 PM</t>
  </si>
  <si>
    <t>1/12/2017 8:56:39.495277 PM</t>
  </si>
  <si>
    <t>1/12/2017 8:56:45.056999 PM</t>
  </si>
  <si>
    <t>1/12/2017 8:57:25.265204 PM</t>
  </si>
  <si>
    <t>1/12/2017 8:57:18.653330 PM</t>
  </si>
  <si>
    <t>1/12/2017 8:57:22.029657 PM</t>
  </si>
  <si>
    <t>1/12/2017 8:57:16.403324 PM</t>
  </si>
  <si>
    <t>1/12/2017 8:57:21.365093 PM</t>
  </si>
  <si>
    <t>1/12/2017 8:57:14.771056 PM</t>
  </si>
  <si>
    <t>1/12/2017 8:57:19.381726 PM</t>
  </si>
  <si>
    <t>1/12/2017 8:57:04.510891 PM</t>
  </si>
  <si>
    <t>1/12/2017 8:57:20.283436 PM</t>
  </si>
  <si>
    <t>1/12/2017 8:57:17.411368 PM</t>
  </si>
  <si>
    <t>1/12/2017 8:56:39.798610 PM</t>
  </si>
  <si>
    <t>1/12/2017 8:57:25.867349 PM</t>
  </si>
  <si>
    <t>1/12/2017 8:57:07.863077 PM</t>
  </si>
  <si>
    <t>1/12/2017 8:57:02.281201 PM</t>
  </si>
  <si>
    <t>1/12/2017 8:56:56.470930 PM</t>
  </si>
  <si>
    <t>1/12/2017 8:57:16.651159 PM</t>
  </si>
  <si>
    <t>1/12/2017 8:57:16.521698 PM</t>
  </si>
  <si>
    <t>1/12/2017 8:57:03.847425 PM</t>
  </si>
  <si>
    <t>1/12/2017 8:56:49.636872 PM</t>
  </si>
  <si>
    <t>1/12/2017 8:56:43.462698 PM</t>
  </si>
  <si>
    <t>1/12/2017 8:57:25.207099 PM</t>
  </si>
  <si>
    <t>1/12/2017 8:57:03.360941 PM</t>
  </si>
  <si>
    <t>1/12/2017 8:56:46.240930 PM</t>
  </si>
  <si>
    <t>1/12/2017 8:56:41.758598 PM</t>
  </si>
  <si>
    <t>1/12/2017 8:57:21.609275 PM</t>
  </si>
  <si>
    <t>1/12/2017 8:57:19.201768 PM</t>
  </si>
  <si>
    <t>1/12/2017 8:56:55.682850 PM</t>
  </si>
  <si>
    <t>1/12/2017 8:56:49.752849 PM</t>
  </si>
  <si>
    <t>1/12/2017 8:56:44.880691 PM</t>
  </si>
  <si>
    <t>1/12/2017 8:57:16.837130 PM</t>
  </si>
  <si>
    <t>1/12/2017 8:57:04.205028 PM</t>
  </si>
  <si>
    <t>1/12/2017 8:57:03.182919 PM</t>
  </si>
  <si>
    <t>1/12/2017 8:57:15.311149 PM</t>
  </si>
  <si>
    <t>1/12/2017 8:56:47.426492 PM</t>
  </si>
  <si>
    <t>1/12/2017 8:56:45.708900 PM</t>
  </si>
  <si>
    <t>1/12/2017 8:56:56.764854 PM</t>
  </si>
  <si>
    <t>1/12/2017 8:56:55.622841 PM</t>
  </si>
  <si>
    <t>1/12/2017 8:57:11.105087 PM</t>
  </si>
  <si>
    <t>1/12/2017 8:56:57.723139 PM</t>
  </si>
  <si>
    <t>1/12/2017 8:56:48.155325 PM</t>
  </si>
  <si>
    <t>1/12/2017 8:56:46.774681 PM</t>
  </si>
  <si>
    <t>1/12/2017 8:56:44.295191 PM</t>
  </si>
  <si>
    <t>1/12/2017 8:56:43.522633 PM</t>
  </si>
  <si>
    <t>1/12/2017 8:57:09.481146 PM</t>
  </si>
  <si>
    <t>1/12/2017 8:56:54.180863 PM</t>
  </si>
  <si>
    <t>1/12/2017 8:57:23.289295 PM</t>
  </si>
  <si>
    <t>1/12/2017 8:57:16.709141 PM</t>
  </si>
  <si>
    <t>1/12/2017 8:56:58.023273 PM</t>
  </si>
  <si>
    <t>1/12/2017 8:56:53.708865 PM</t>
  </si>
  <si>
    <t>1/12/2017 8:56:52.018960 PM</t>
  </si>
  <si>
    <t>1/12/2017 8:57:14.229104 PM</t>
  </si>
  <si>
    <t>1/12/2017 8:57:05.940946 PM</t>
  </si>
  <si>
    <t>1/12/2017 8:56:43.700763 PM</t>
  </si>
  <si>
    <t>1/12/2017 8:56:42.296730 PM</t>
  </si>
  <si>
    <t>1/12/2017 8:57:18.007333 PM</t>
  </si>
  <si>
    <t>1/12/2017 8:57:10.561115 PM</t>
  </si>
  <si>
    <t>1/12/2017 8:57:05.703868 PM</t>
  </si>
  <si>
    <t>1/12/2017 8:56:51.600760 PM</t>
  </si>
  <si>
    <t>1/12/2017 8:56:40.215658 PM</t>
  </si>
  <si>
    <t>VH_ADT_ID</t>
  </si>
  <si>
    <t>1/12/2017 8:57:00.959166 PM</t>
  </si>
  <si>
    <t>1/12/2017 8:56:51.360737 PM</t>
  </si>
  <si>
    <t>1/12/2017 8:56:51.000873 PM</t>
  </si>
  <si>
    <t>1/12/2017 8:56:42.237400 PM</t>
  </si>
  <si>
    <t>1/12/2017 8:56:41.876841 PM</t>
  </si>
  <si>
    <t>1/12/2017 8:57:24.489274 PM</t>
  </si>
  <si>
    <t>1/12/2017 8:57:19.559275 PM</t>
  </si>
  <si>
    <t>1/12/2017 8:57:15.607267 PM</t>
  </si>
  <si>
    <t>1/12/2017 8:56:59.105038 PM</t>
  </si>
  <si>
    <t>1/12/2017 8:56:40.917557 PM</t>
  </si>
  <si>
    <t>1/12/2017 8:57:19.015168 PM</t>
  </si>
  <si>
    <t>1/12/2017 8:57:06.603650 PM</t>
  </si>
  <si>
    <t>1/12/2017 8:57:04.979069 PM</t>
  </si>
  <si>
    <t>1/12/2017 8:56:49.340955 PM</t>
  </si>
  <si>
    <t>1/12/2017 8:56:54.361254 PM</t>
  </si>
  <si>
    <t>1/12/2017 8:57:13.869600 PM</t>
  </si>
  <si>
    <t>1/12/2017 8:56:48.624892 PM</t>
  </si>
  <si>
    <t>1/12/2017 8:57:11.953393 PM</t>
  </si>
  <si>
    <t>1/12/2017 8:57:06.543145 PM</t>
  </si>
  <si>
    <t>1/12/2017 8:57:18.477234 PM</t>
  </si>
  <si>
    <t>1/12/2017 8:57:06.663003 PM</t>
  </si>
  <si>
    <t>1/12/2017 8:57:01.801239 PM</t>
  </si>
  <si>
    <t>1/12/2017 8:56:53.340687 PM</t>
  </si>
  <si>
    <t>1/12/2017 8:57:17.593246 PM</t>
  </si>
  <si>
    <t>1/12/2017 8:57:10.739293 PM</t>
  </si>
  <si>
    <t>1/12/2017 8:56:51.301011 PM</t>
  </si>
  <si>
    <t>1/12/2017 8:56:45.888712 PM</t>
  </si>
  <si>
    <t>1/12/2017 8:57:20.042625 PM</t>
  </si>
  <si>
    <t>1/12/2017 8:57:17.771188 PM</t>
  </si>
  <si>
    <t>1/12/2017 8:57:10.987177 PM</t>
  </si>
  <si>
    <t>1/12/2017 8:56:45.297220 PM</t>
  </si>
  <si>
    <t>1/12/2017 8:56:44.764697 PM</t>
  </si>
  <si>
    <t>1/12/2017 8:57:06.420992 PM</t>
  </si>
  <si>
    <t>1/12/2017 8:56:46.356737 PM</t>
  </si>
  <si>
    <t>VH_MTHLY_SS_INCOME</t>
  </si>
  <si>
    <t>1/12/2017 8:57:08.221200 PM</t>
  </si>
  <si>
    <t>1/12/2017 8:56:54.842895 PM</t>
  </si>
  <si>
    <t>1/12/2017 8:57:09.243376 PM</t>
  </si>
  <si>
    <t>1/12/2017 8:56:59.523082 PM</t>
  </si>
  <si>
    <t>1/12/2017 8:56:47.484889 PM</t>
  </si>
  <si>
    <t>1/12/2017 8:56:42.962985 PM</t>
  </si>
  <si>
    <t>1/12/2017 8:57:09.067188 PM</t>
  </si>
  <si>
    <t>1/12/2017 8:56:46.298829 PM</t>
  </si>
  <si>
    <t>1/12/2017 8:56:59.045391 PM</t>
  </si>
  <si>
    <t>1/12/2017 8:56:47.916757 PM</t>
  </si>
  <si>
    <t>1/12/2017 8:56:40.448583 PM</t>
  </si>
  <si>
    <t>1/12/2017 8:56:48.802910 PM</t>
  </si>
  <si>
    <t>VH_RET_AGE</t>
  </si>
  <si>
    <t>1/12/2017 8:57:21.669143 PM</t>
  </si>
  <si>
    <t>1/12/2017 8:57:02.338955 PM</t>
  </si>
  <si>
    <t>1/12/2017 8:56:43.404741 PM</t>
  </si>
  <si>
    <t>1/12/2017 8:57:12.129295 PM</t>
  </si>
  <si>
    <t>1/12/2017 8:57:06.779042 PM</t>
  </si>
  <si>
    <t>1/12/2017 8:57:20.579267 PM</t>
  </si>
  <si>
    <t>1/12/2017 8:57:17.533150 PM</t>
  </si>
  <si>
    <t>1/12/2017 8:57:12.307452 PM</t>
  </si>
  <si>
    <t>1/12/2017 8:57:00.361073 PM</t>
  </si>
  <si>
    <t>1/12/2017 8:57:13.559904 PM</t>
  </si>
  <si>
    <t>1/12/2017 8:57:07.393245 PM</t>
  </si>
  <si>
    <t>1/12/2017 8:57:26.043170 PM</t>
  </si>
  <si>
    <t>1/12/2017 8:56:59.345130 PM</t>
  </si>
  <si>
    <t>1/12/2017 8:56:41.154742 PM</t>
  </si>
  <si>
    <t>1/12/2017 8:57:23.889518 PM</t>
  </si>
  <si>
    <t>1/12/2017 8:56:51.243103 PM</t>
  </si>
  <si>
    <t>1/12/2017 8:56:48.861220 PM</t>
  </si>
  <si>
    <t>1/12/2017 8:56:47.010930 PM</t>
  </si>
  <si>
    <t>1/12/2017 8:57:04.321194 PM</t>
  </si>
  <si>
    <t>1/12/2017 8:57:24.841468 PM</t>
  </si>
  <si>
    <t>1/12/2017 8:56:59.404994 PM</t>
  </si>
  <si>
    <t>1/12/2017 8:56:39.426735 PM</t>
  </si>
  <si>
    <t>1/12/2017 8:57:25.031324 PM</t>
  </si>
  <si>
    <t>1/12/2017 8:57:05.881413 PM</t>
  </si>
  <si>
    <t>1/12/2017 8:57:05.285120 PM</t>
  </si>
  <si>
    <t>1/12/2017 8:56:52.620888 PM</t>
  </si>
  <si>
    <t>1/12/2017 8:57:14.831207 PM</t>
  </si>
  <si>
    <t>1/12/2017 8:57:06.001014 PM</t>
  </si>
  <si>
    <t>1/12/2017 8:57:24.299247 PM</t>
  </si>
  <si>
    <t>1/12/2017 8:57:18.887621 PM</t>
  </si>
  <si>
    <t>1/12/2017 8:57:12.602046 PM</t>
  </si>
  <si>
    <t>1/12/2017 8:57:06.481159 PM</t>
  </si>
  <si>
    <t>1/12/2017 8:56:59.881022 PM</t>
  </si>
  <si>
    <t>1/12/2017 8:56:57.963170 PM</t>
  </si>
  <si>
    <t>1/12/2017 8:56:50.878927 PM</t>
  </si>
  <si>
    <t>1/12/2017 8:56:55.920906 PM</t>
  </si>
  <si>
    <t>1/12/2017 8:56:44.938909 PM</t>
  </si>
  <si>
    <t>1/12/2017 8:56:40.274623 PM</t>
  </si>
  <si>
    <t>1/12/2017 8:57:20.463112 PM</t>
  </si>
  <si>
    <t>1/12/2017 8:57:09.421819 PM</t>
  </si>
  <si>
    <t>1/12/2017 8:56:50.346776 PM</t>
  </si>
  <si>
    <t>1/12/2017 8:57:18.125256 PM</t>
  </si>
  <si>
    <t>1/12/2017 8:57:16.895117 PM</t>
  </si>
  <si>
    <t>1/12/2017 8:56:46.716688 PM</t>
  </si>
  <si>
    <t>1/12/2017 8:57:16.593101 PM</t>
  </si>
  <si>
    <t>1/12/2017 8:57:15.669195 PM</t>
  </si>
  <si>
    <t>1/12/2017 8:56:56.042962 PM</t>
  </si>
  <si>
    <t>1/12/2017 8:56:55.083067 PM</t>
  </si>
  <si>
    <t>1/12/2017 8:56:50.942795 PM</t>
  </si>
  <si>
    <t>1/12/2017 8:56:49.047452 PM</t>
  </si>
  <si>
    <t>1/12/2017 8:56:55.800889 PM</t>
  </si>
  <si>
    <t>1/12/2017 8:57:25.091225 PM</t>
  </si>
  <si>
    <t>1/12/2017 8:57:21.851234 PM</t>
  </si>
  <si>
    <t>1/12/2017 8:57:21.063152 PM</t>
  </si>
  <si>
    <t>1/12/2017 8:57:17.653829 PM</t>
  </si>
  <si>
    <t>1/12/2017 8:57:00.421187 PM</t>
  </si>
  <si>
    <t>1/12/2017 8:56:55.503003 PM</t>
  </si>
  <si>
    <t>1/12/2017 8:56:53.579059 PM</t>
  </si>
  <si>
    <t>1/12/2017 8:56:45.415397 PM</t>
  </si>
  <si>
    <t>1/12/2017 8:56:43.346796 PM</t>
  </si>
  <si>
    <t>1/12/2017 8:56:41.276867 PM</t>
  </si>
  <si>
    <t>1/12/2017 8:56:40.506706 PM</t>
  </si>
  <si>
    <t>1/12/2017 8:57:16.955096 PM</t>
  </si>
  <si>
    <t>1/12/2017 8:56:50.052959 PM</t>
  </si>
  <si>
    <t>1/12/2017 8:57:17.888502 PM</t>
  </si>
  <si>
    <t>1/12/2017 8:57:11.761103 PM</t>
  </si>
  <si>
    <t>1/12/2017 8:57:14.471833 PM</t>
  </si>
  <si>
    <t>1/12/2017 8:57:09.663381 PM</t>
  </si>
  <si>
    <t>1/12/2017 8:57:08.887106 PM</t>
  </si>
  <si>
    <t>1/12/2017 8:57:05.053081 PM</t>
  </si>
  <si>
    <t>1/12/2017 8:56:47.364936 PM</t>
  </si>
  <si>
    <t>1/12/2017 8:56:47.069080 PM</t>
  </si>
  <si>
    <t>1/12/2017 8:57:23.707120 PM</t>
  </si>
  <si>
    <t>1/12/2017 8:57:07.201096 PM</t>
  </si>
  <si>
    <t>1/12/2017 8:56:49.694868 PM</t>
  </si>
  <si>
    <t>1/12/2017 8:57:16.103149 PM</t>
  </si>
  <si>
    <t>1/12/2017 8:57:20.827602 PM</t>
  </si>
  <si>
    <t>1/12/2017 8:57:05.643573 PM</t>
  </si>
  <si>
    <t>1/12/2017 8:57:18.301186 PM</t>
  </si>
  <si>
    <t>1/12/2017 8:57:07.021077 PM</t>
  </si>
  <si>
    <t>1/12/2017 8:57:02.941024 PM</t>
  </si>
  <si>
    <t>1/12/2017 8:57:00.717715 PM</t>
  </si>
  <si>
    <t>1/12/2017 8:56:57.901539 PM</t>
  </si>
  <si>
    <t>1/12/2017 8:56:43.143566 PM</t>
  </si>
  <si>
    <t>1/12/2017 8:57:18.241491 PM</t>
  </si>
  <si>
    <t>1/12/2017 8:57:08.341043 PM</t>
  </si>
  <si>
    <t>1/12/2017 8:56:58.564930 PM</t>
  </si>
  <si>
    <t>1/12/2017 8:56:47.678794 PM</t>
  </si>
  <si>
    <t>1/12/2017 8:56:41.217477 PM</t>
  </si>
  <si>
    <t>1/12/2017 8:57:22.983137 PM</t>
  </si>
  <si>
    <t>1/12/2017 8:57:01.078944 PM</t>
  </si>
  <si>
    <t>1/12/2017 8:56:58.802912 PM</t>
  </si>
  <si>
    <t>1/12/2017 8:56:40.977283 PM</t>
  </si>
  <si>
    <t>1/12/2017 8:57:13.683935 PM</t>
  </si>
  <si>
    <t>1/12/2017 8:57:12.425112 PM</t>
  </si>
  <si>
    <t>1/12/2017 8:56:45.650759 PM</t>
  </si>
  <si>
    <t>1/12/2017 8:57:05.465183 PM</t>
  </si>
  <si>
    <t>1/12/2017 8:57:19.619097 PM</t>
  </si>
  <si>
    <t>1/12/2017 8:56:49.810954 PM</t>
  </si>
  <si>
    <t>1/12/2017 8:56:48.451071 PM</t>
  </si>
  <si>
    <t>1/12/2017 8:56:47.542912 PM</t>
  </si>
  <si>
    <t>1/12/2017 8:56:46.415079 PM</t>
  </si>
  <si>
    <t>1/12/2017 8:57:17.133153 PM</t>
  </si>
  <si>
    <t>1/12/2017 8:57:20.945247 PM</t>
  </si>
  <si>
    <t>1/12/2017 8:57:01.201126 PM</t>
  </si>
  <si>
    <t>1/12/2017 8:56:52.268765 PM</t>
  </si>
  <si>
    <t>1/12/2017 8:56:46.952736 PM</t>
  </si>
  <si>
    <t>1/12/2017 8:56:40.743068 PM</t>
  </si>
  <si>
    <t>1/12/2017 8:56:40.622825 PM</t>
  </si>
  <si>
    <t>1/12/2017 8:57:23.647519 PM</t>
  </si>
  <si>
    <t>1/12/2017 8:57:15.489241 PM</t>
  </si>
  <si>
    <t>1/12/2017 8:57:12.187179 PM</t>
  </si>
  <si>
    <t>1/12/2017 8:57:08.767690 PM</t>
  </si>
  <si>
    <t>1/12/2017 8:56:56.341074 PM</t>
  </si>
  <si>
    <t>1/12/2017 8:56:41.513157 PM</t>
  </si>
  <si>
    <t>1/12/2017 8:57:21.793261 PM</t>
  </si>
  <si>
    <t>1/12/2017 8:57:09.007203 PM</t>
  </si>
  <si>
    <t>1/12/2017 8:56:54.777392 PM</t>
  </si>
  <si>
    <t>1/12/2017 8:56:45.477033 PM</t>
  </si>
  <si>
    <t>1/12/2017 8:56:41.817109 PM</t>
  </si>
  <si>
    <t>1/12/2017 8:57:23.041179 PM</t>
  </si>
  <si>
    <t>1/12/2017 8:57:12.901840 PM</t>
  </si>
  <si>
    <t>1/12/2017 8:57:01.321262 PM</t>
  </si>
  <si>
    <t>1/12/2017 8:56:54.481021 PM</t>
  </si>
  <si>
    <t>1/12/2017 8:56:45.592725 PM</t>
  </si>
  <si>
    <t>1/12/2017 8:57:10.621080 PM</t>
  </si>
  <si>
    <t>1/12/2017 8:57:08.581699 PM</t>
  </si>
  <si>
    <t>1/12/2017 8:57:07.451481 PM</t>
  </si>
  <si>
    <t>1/12/2017 8:56:55.980908 PM</t>
  </si>
  <si>
    <t>1/12/2017 8:57:25.985511 PM</t>
  </si>
  <si>
    <t>1/12/2017 8:57:21.239331 PM</t>
  </si>
  <si>
    <t>1/12/2017 8:57:14.711325 PM</t>
  </si>
  <si>
    <t>1/12/2017 8:57:08.038952 PM</t>
  </si>
  <si>
    <t>1/12/2017 8:56:57.782909 PM</t>
  </si>
  <si>
    <t>1/12/2017 8:57:18.829157 PM</t>
  </si>
  <si>
    <t>1/12/2017 8:57:11.639203 PM</t>
  </si>
  <si>
    <t>1/12/2017 8:56:56.219251 PM</t>
  </si>
  <si>
    <t>1/12/2017 8:56:54.900875 PM</t>
  </si>
  <si>
    <t>1/12/2017 8:57:16.779211 PM</t>
  </si>
  <si>
    <t>1/12/2017 8:56:56.823419 PM</t>
  </si>
  <si>
    <t>1/12/2017 8:57:15.135147 PM</t>
  </si>
  <si>
    <t>1/12/2017 8:57:13.625097 PM</t>
  </si>
  <si>
    <t>1/12/2017 8:56:56.528963 PM</t>
  </si>
  <si>
    <t>1/12/2017 8:57:17.829096 PM</t>
  </si>
  <si>
    <t>1/12/2017 8:57:15.431209 PM</t>
  </si>
  <si>
    <t>1/12/2017 8:57:12.961219 PM</t>
  </si>
  <si>
    <t>1/12/2017 8:56:51.783010 PM</t>
  </si>
  <si>
    <t>1/12/2017 8:56:58.322862 PM</t>
  </si>
  <si>
    <t>1/12/2017 8:56:43.932800 PM</t>
  </si>
  <si>
    <t>1/12/2017 8:57:24.181567 PM</t>
  </si>
  <si>
    <t>1/12/2017 8:57:24.063104 PM</t>
  </si>
  <si>
    <t>1/12/2017 8:57:18.595107 PM</t>
  </si>
  <si>
    <t>1/12/2017 8:56:46.659154 PM</t>
  </si>
  <si>
    <t>1/12/2017 8:57:01.559257 PM</t>
  </si>
  <si>
    <t>1/12/2017 8:56:59.821097 PM</t>
  </si>
  <si>
    <t>1/12/2017 8:56:58.860923 PM</t>
  </si>
  <si>
    <t>1/12/2017 8:57:04.626966 PM</t>
  </si>
  <si>
    <t>1/12/2017 8:57:03.061057 PM</t>
  </si>
  <si>
    <t>1/12/2017 8:57:02.401015 PM</t>
  </si>
  <si>
    <t>1/12/2017 8:56:52.502945 PM</t>
  </si>
  <si>
    <t>1/12/2017 8:56:42.417048 PM</t>
  </si>
  <si>
    <t>1/12/2017 8:57:23.769113 PM</t>
  </si>
  <si>
    <t>1/12/2017 8:57:12.483247 PM</t>
  </si>
  <si>
    <t>1/12/2017 8:57:02.819016 PM</t>
  </si>
  <si>
    <t>1/12/2017 8:57:02.459154 PM</t>
  </si>
  <si>
    <t>1/12/2017 8:56:59.225074 PM</t>
  </si>
  <si>
    <t>1/12/2017 8:56:51.720834 PM</t>
  </si>
  <si>
    <t>1/12/2017 8:57:25.809182 PM</t>
  </si>
  <si>
    <t>1/12/2017 8:56:55.204599 PM</t>
  </si>
  <si>
    <t>1/12/2017 8:56:52.921076 PM</t>
  </si>
  <si>
    <t>1/12/2017 8:56:44.113818 PM</t>
  </si>
  <si>
    <t>1/12/2017 8:57:24.605261 PM</t>
  </si>
  <si>
    <t>1/12/2017 8:57:07.275322 PM</t>
  </si>
  <si>
    <t>1/12/2017 8:57:04.450906 PM</t>
  </si>
  <si>
    <t>1/12/2017 8:56:42.843592 PM</t>
  </si>
  <si>
    <t>1/12/2017 8:57:09.545960 PM</t>
  </si>
  <si>
    <t>1/12/2017 8:56:57.303055 PM</t>
  </si>
  <si>
    <t>1/12/2017 8:56:44.997148 PM</t>
  </si>
  <si>
    <t>1/12/2017 8:56:46.534980 PM</t>
  </si>
  <si>
    <t>1/12/2017 8:56:46.123051 PM</t>
  </si>
  <si>
    <t>1/12/2017 8:57:02.044986 PM</t>
  </si>
  <si>
    <t>1/12/2017 8:56:58.683066 PM</t>
  </si>
  <si>
    <t>1/12/2017 8:56:51.660689 PM</t>
  </si>
  <si>
    <t>1/12/2017 8:56:49.576850 PM</t>
  </si>
  <si>
    <t>1/12/2017 8:56:46.893126 PM</t>
  </si>
  <si>
    <t>1/12/2017 8:56:54.063528 PM</t>
  </si>
  <si>
    <t>1/12/2017 8:57:21.549755 PM</t>
  </si>
  <si>
    <t>1/12/2017 8:57:12.247093 PM</t>
  </si>
  <si>
    <t>1/12/2017 8:57:08.281181 PM</t>
  </si>
  <si>
    <t>1/12/2017 8:56:59.641382 PM</t>
  </si>
  <si>
    <t>1/12/2017 8:56:58.985077 PM</t>
  </si>
  <si>
    <t>1/12/2017 8:56:47.738837 PM</t>
  </si>
  <si>
    <t>1/12/2017 8:56:41.454846 PM</t>
  </si>
  <si>
    <t>1/12/2017 8:57:22.691143 PM</t>
  </si>
  <si>
    <t>1/12/2017 8:57:22.631095 PM</t>
  </si>
  <si>
    <t>1/12/2017 8:57:10.023625 PM</t>
  </si>
  <si>
    <t>1/12/2017 8:57:00.002478 PM</t>
  </si>
  <si>
    <t>1/12/2017 8:56:50.288919 PM</t>
  </si>
  <si>
    <t>1/12/2017 8:57:06.239475 PM</t>
  </si>
  <si>
    <t>1/12/2017 8:56:46.601170 PM</t>
  </si>
  <si>
    <t>1/12/2017 8:56:40.094595 PM</t>
  </si>
  <si>
    <t>1/12/2017 8:56:49.280891 PM</t>
  </si>
  <si>
    <t>1/12/2017 8:57:26.281548 PM</t>
  </si>
  <si>
    <t>1/12/2017 8:57:11.399352 PM</t>
  </si>
  <si>
    <t>1/12/2017 8:57:05.583035 PM</t>
  </si>
  <si>
    <t>1/12/2017 8:56:51.840698 PM</t>
  </si>
  <si>
    <t>1/12/2017 8:56:49.986904 PM</t>
  </si>
  <si>
    <t>1/12/2017 8:56:59.583303 PM</t>
  </si>
  <si>
    <t>1/12/2017 8:56:53.768814 PM</t>
  </si>
  <si>
    <t>1/12/2017 8:57:22.149259 PM</t>
  </si>
  <si>
    <t>1/12/2017 8:56:49.223048 PM</t>
  </si>
  <si>
    <t>1/12/2017 8:57:00.598881 PM</t>
  </si>
  <si>
    <t>1/12/2017 8:56:58.257223 PM</t>
  </si>
  <si>
    <t>1/12/2017 8:56:44.822731 PM</t>
  </si>
  <si>
    <t>1/12/2017 8:57:10.319254 PM</t>
  </si>
  <si>
    <t>1/12/2017 8:57:07.805125 PM</t>
  </si>
  <si>
    <t>1/12/2017 8:56:47.246726 PM</t>
  </si>
  <si>
    <t>1/12/2017 8:57:19.137670 PM</t>
  </si>
  <si>
    <t>1/12/2017 8:57:16.343074 PM</t>
  </si>
  <si>
    <t>1/12/2017 8:57:10.501489 PM</t>
  </si>
  <si>
    <t>1/12/2017 8:57:01.441042 PM</t>
  </si>
  <si>
    <t>1/12/2017 8:57:01.020926 PM</t>
  </si>
  <si>
    <t>1/12/2017 8:57:12.841723 PM</t>
  </si>
  <si>
    <t>1/12/2017 8:56:47.128911 PM</t>
  </si>
  <si>
    <t>1/12/2017 8:57:15.729362 PM</t>
  </si>
  <si>
    <t>1/12/2017 8:56:56.586935 PM</t>
  </si>
  <si>
    <t>1/12/2017 8:56:40.154893 PM</t>
  </si>
  <si>
    <t>1/12/2017 8:57:26.339203 PM</t>
  </si>
  <si>
    <t>1/12/2017 8:57:25.632378 PM</t>
  </si>
  <si>
    <t>1/12/2017 8:57:00.840895 PM</t>
  </si>
  <si>
    <t>1/12/2017 8:56:54.599112 PM</t>
  </si>
  <si>
    <t>1/12/2017 8:56:53.162928 PM</t>
  </si>
  <si>
    <t>1/12/2017 8:57:09.781904 PM</t>
  </si>
  <si>
    <t>1/12/2017 8:56:41.572817 PM</t>
  </si>
  <si>
    <t>1/12/2017 8:57:10.801131 PM</t>
  </si>
  <si>
    <t>1/12/2017 8:57:02.103076 PM</t>
  </si>
  <si>
    <t>1/12/2017 8:57:19.807117 PM</t>
  </si>
  <si>
    <t>1/12/2017 8:56:50.643173 PM</t>
  </si>
  <si>
    <t>1/12/2017 8:57:25.443357 PM</t>
  </si>
  <si>
    <t>1/12/2017 8:57:18.537166 PM</t>
  </si>
  <si>
    <t>1/12/2017 8:57:15.371258 PM</t>
  </si>
  <si>
    <t>1/12/2017 8:56:56.644918 PM</t>
  </si>
  <si>
    <t>1/12/2017 8:56:52.445054 PM</t>
  </si>
  <si>
    <t>1/12/2017 8:56:52.089131 PM</t>
  </si>
  <si>
    <t>VH_EFFECTIVE_DT</t>
  </si>
  <si>
    <t>1/12/2017 8:57:21.123128 PM</t>
  </si>
  <si>
    <t>1/12/2017 8:57:16.225296 PM</t>
  </si>
  <si>
    <t>1/12/2017 8:57:12.069419 PM</t>
  </si>
  <si>
    <t>1/12/2017 8:57:10.200964 PM</t>
  </si>
  <si>
    <t>1/12/2017 8:56:43.758617 PM</t>
  </si>
  <si>
    <t>1/12/2017 8:56:43.083125 PM</t>
  </si>
  <si>
    <t>1/12/2017 8:57:22.865207 PM</t>
  </si>
  <si>
    <t>1/12/2017 8:57:13.021287 PM</t>
  </si>
  <si>
    <t>1/12/2017 8:57:08.462999 PM</t>
  </si>
  <si>
    <t>1/12/2017 8:57:07.140994 PM</t>
  </si>
  <si>
    <t>1/12/2017 8:56:50.404901 PM</t>
  </si>
  <si>
    <t>1/12/2017 8:56:41.630867 PM</t>
  </si>
  <si>
    <t>1/12/2017 8:57:24.781141 PM</t>
  </si>
  <si>
    <t>1/12/2017 8:56:46.006897 PM</t>
  </si>
  <si>
    <t>1/12/2017 8:57:07.631228 PM</t>
  </si>
  <si>
    <t>1/12/2017 8:56:58.503062 PM</t>
  </si>
  <si>
    <t>1/12/2017 8:56:44.649045 PM</t>
  </si>
  <si>
    <t>1/12/2017 8:57:24.240391 PM</t>
  </si>
  <si>
    <t>1/12/2017 8:57:22.387250 PM</t>
  </si>
  <si>
    <t>1/12/2017 8:57:10.927107 PM</t>
  </si>
  <si>
    <t>1/12/2017 8:56:54.719210 PM</t>
  </si>
  <si>
    <t>1/12/2017 8:57:24.723355 PM</t>
  </si>
  <si>
    <t>1/12/2017 8:57:20.163596 PM</t>
  </si>
  <si>
    <t>1/12/2017 8:56:44.470923 PM</t>
  </si>
  <si>
    <t>1/12/2017 8:56:40.390734 PM</t>
  </si>
  <si>
    <t>1/12/2017 8:57:11.163083 PM</t>
  </si>
  <si>
    <t>1/12/2017 8:57:02.220962 PM</t>
  </si>
  <si>
    <t>1/12/2017 8:57:22.573103 PM</t>
  </si>
  <si>
    <t>1/12/2017 8:57:19.691328 PM</t>
  </si>
  <si>
    <t>1/12/2017 8:57:15.015547 PM</t>
  </si>
  <si>
    <t>1/12/2017 8:57:09.125257 PM</t>
  </si>
  <si>
    <t>1/12/2017 8:57:06.901306 PM</t>
  </si>
  <si>
    <t>1/12/2017 8:57:00.245021 PM</t>
  </si>
  <si>
    <t>1/12/2017 8:56:46.183139 PM</t>
  </si>
  <si>
    <t>1/12/2017 8:56:43.202780 PM</t>
  </si>
  <si>
    <t>1/12/2017 8:57:16.043293 PM</t>
  </si>
  <si>
    <t>1/12/2017 8:57:03.789090 PM</t>
  </si>
  <si>
    <t>1/12/2017 8:56:53.220888 PM</t>
  </si>
  <si>
    <t>1/12/2017 8:57:23.467135 PM</t>
  </si>
  <si>
    <t>1/12/2017 8:56:49.929041 PM</t>
  </si>
  <si>
    <t>1/12/2017 8:56:44.176978 PM</t>
  </si>
  <si>
    <t>1/12/2017 8:57:14.171211 PM</t>
  </si>
  <si>
    <t>1/12/2017 8:57:12.365084 PM</t>
  </si>
  <si>
    <t>1/12/2017 8:57:04.029292 PM</t>
  </si>
  <si>
    <t>1/12/2017 8:56:53.649067 PM</t>
  </si>
  <si>
    <t>1/12/2017 8:57:12.011054 PM</t>
  </si>
  <si>
    <t>1/12/2017 8:57:11.518990 PM</t>
  </si>
  <si>
    <t>1/12/2017 8:57:04.263231 PM</t>
  </si>
  <si>
    <t>1/12/2017 8:57:13.501379 PM</t>
  </si>
  <si>
    <t>1/12/2017 8:57:07.511135 PM</t>
  </si>
  <si>
    <t>1/12/2017 8:57:04.800985 PM</t>
  </si>
  <si>
    <t>1/12/2017 8:56:45.357061 PM</t>
  </si>
  <si>
    <t>1/12/2017 8:57:25.925118 PM</t>
  </si>
  <si>
    <t>1/12/2017 8:57:22.925106 PM</t>
  </si>
  <si>
    <t>1/12/2017 8:57:19.501226 PM</t>
  </si>
  <si>
    <t>1/12/2017 8:57:02.642033 PM</t>
  </si>
  <si>
    <t>1/12/2017 8:56:58.623149 PM</t>
  </si>
  <si>
    <t>1/12/2017 8:56:43.993095 PM</t>
  </si>
  <si>
    <t>1/12/2017 8:57:15.849210 PM</t>
  </si>
  <si>
    <t>1/12/2017 8:56:56.281021 PM</t>
  </si>
  <si>
    <t>1/12/2017 8:57:14.531239 PM</t>
  </si>
  <si>
    <t>1/12/2017 8:57:12.781257 PM</t>
  </si>
  <si>
    <t>1/12/2017 8:57:10.439622 PM</t>
  </si>
  <si>
    <t>1/12/2017 8:57:03.596905 PM</t>
  </si>
  <si>
    <t>1/12/2017 8:56:53.828896 PM</t>
  </si>
  <si>
    <t>1/12/2017 8:56:50.522720 PM</t>
  </si>
  <si>
    <t>1/12/2017 8:56:42.117033 PM</t>
  </si>
  <si>
    <t>1/12/2017 8:57:02.702995 PM</t>
  </si>
  <si>
    <t>1/12/2017 8:56:39.616822 PM</t>
  </si>
  <si>
    <t>1/12/2017 8:57:23.161135 PM</t>
  </si>
  <si>
    <t>1/12/2017 8:57:06.841026 PM</t>
  </si>
  <si>
    <t>1/12/2017 8:57:18.183149 PM</t>
  </si>
  <si>
    <t>1/12/2017 8:57:17.193226 PM</t>
  </si>
  <si>
    <t>1/12/2017 8:57:12.661990 PM</t>
  </si>
  <si>
    <t>1/12/2017 8:57:10.681108 PM</t>
  </si>
  <si>
    <t>1/12/2017 8:57:09.723356 PM</t>
  </si>
  <si>
    <t>1/12/2017 8:57:19.749100 PM</t>
  </si>
  <si>
    <t>1/12/2017 8:56:53.520905 PM</t>
  </si>
  <si>
    <t>1/12/2017 8:56:42.722905 PM</t>
  </si>
  <si>
    <t>1/12/2017 8:57:26.163438 PM</t>
  </si>
  <si>
    <t>1/12/2017 8:57:13.383083 PM</t>
  </si>
  <si>
    <t>1/12/2017 8:57:11.047266 PM</t>
  </si>
  <si>
    <t>1/12/2017 8:56:48.918909 PM</t>
  </si>
  <si>
    <t>1/12/2017 8:57:20.223218 PM</t>
  </si>
  <si>
    <t>1/12/2017 8:57:26.103717 PM</t>
  </si>
  <si>
    <t>1/12/2017 8:57:25.691250 PM</t>
  </si>
  <si>
    <t>1/12/2017 8:57:01.985193 PM</t>
  </si>
  <si>
    <t>1/12/2017 8:56:46.064941 PM</t>
  </si>
  <si>
    <t>1/12/2017 8:57:13.441583 PM</t>
  </si>
  <si>
    <t>1/12/2017 8:57:06.181191 PM</t>
  </si>
  <si>
    <t>1/12/2017 8:57:05.226952 PM</t>
  </si>
  <si>
    <t>1/12/2017 8:56:52.798939 PM</t>
  </si>
  <si>
    <t>1/12/2017 8:57:21.969368 PM</t>
  </si>
  <si>
    <t>1/12/2017 8:57:03.002324 PM</t>
  </si>
  <si>
    <t>1/12/2017 8:56:48.392804 PM</t>
  </si>
  <si>
    <t>1/12/2017 8:57:11.339214 PM</t>
  </si>
  <si>
    <t>1/12/2017 8:57:03.971282 PM</t>
  </si>
  <si>
    <t>1/12/2017 8:56:55.385322 PM</t>
  </si>
  <si>
    <t>1/12/2017 8:56:48.036772 PM</t>
  </si>
  <si>
    <t>1/12/2017 8:56:42.663685 PM</t>
  </si>
  <si>
    <t>1/12/2017 8:57:07.571501 PM</t>
  </si>
  <si>
    <t>1/12/2017 8:56:58.199109 PM</t>
  </si>
  <si>
    <t>1/12/2017 8:57:08.523199 PM</t>
  </si>
  <si>
    <t>1/12/2017 8:56:54.421312 PM</t>
  </si>
  <si>
    <t>1/12/2017 8:56:52.209632 PM</t>
  </si>
  <si>
    <t>1/12/2017 8:57:14.111393 PM</t>
  </si>
  <si>
    <t>1/12/2017 8:57:07.981016 PM</t>
  </si>
  <si>
    <t>1/12/2017 8:56:48.275080 PM</t>
  </si>
  <si>
    <t>1/12/2017 8:56:54.240929 PM</t>
  </si>
  <si>
    <t>1/12/2017 8:56:40.035064 PM</t>
  </si>
  <si>
    <t>1/12/2017 8:57:16.463505 PM</t>
  </si>
  <si>
    <t>1/12/2017 8:57:15.791040 PM</t>
  </si>
  <si>
    <t>1/12/2017 8:57:08.827051 PM</t>
  </si>
  <si>
    <t>1/12/2017 8:57:01.739154 PM</t>
  </si>
  <si>
    <t>1/12/2017 8:56:50.170829 PM</t>
  </si>
  <si>
    <t>1/12/2017 8:57:17.713112 PM</t>
  </si>
  <si>
    <t>1/12/2017 8:56:56.412889 PM</t>
  </si>
  <si>
    <t>1/12/2017 8:56:53.278849 PM</t>
  </si>
  <si>
    <t>1/12/2017 8:56:52.385097 PM</t>
  </si>
  <si>
    <t>1/12/2017 8:57:19.866622 PM</t>
  </si>
  <si>
    <t>1/12/2017 8:57:09.303180 PM</t>
  </si>
  <si>
    <t>1/12/2017 8:56:57.183165 PM</t>
  </si>
  <si>
    <t>1/12/2017 8:57:20.759192 PM</t>
  </si>
  <si>
    <t>1/12/2017 8:57:09.903422 PM</t>
  </si>
  <si>
    <t>1/12/2017 8:56:42.604954 PM</t>
  </si>
  <si>
    <t>1/12/2017 8:57:11.461083 PM</t>
  </si>
  <si>
    <t>1/12/2017 8:57:11.281044 PM</t>
  </si>
  <si>
    <t>1/12/2017 8:57:06.299015 PM</t>
  </si>
  <si>
    <t>1/12/2017 8:57:04.568939 PM</t>
  </si>
  <si>
    <t>1/12/2017 8:56:48.566816 PM</t>
  </si>
  <si>
    <t>1/12/2017 8:57:25.501925 PM</t>
  </si>
  <si>
    <t>1/12/2017 8:57:13.079871 PM</t>
  </si>
  <si>
    <t>1/12/2017 8:57:16.161464 PM</t>
  </si>
  <si>
    <t>1/12/2017 8:56:48.978946 PM</t>
  </si>
  <si>
    <t>1/12/2017 8:56:44.530864 PM</t>
  </si>
  <si>
    <t>1/12/2017 8:57:13.141229 PM</t>
  </si>
  <si>
    <t>VH_AGE</t>
  </si>
  <si>
    <t>1/12/2017 8:57:18.361192 PM</t>
  </si>
  <si>
    <t>1/12/2017 8:56:57.243034 PM</t>
  </si>
  <si>
    <t>1/12/2017 8:57:01.681301 PM</t>
  </si>
  <si>
    <t>1/12/2017 8:57:07.747231 PM</t>
  </si>
  <si>
    <t>1/12/2017 8:57:20.643104 PM</t>
  </si>
  <si>
    <t>1/12/2017 8:56:50.820712 PM</t>
  </si>
  <si>
    <t>1/12/2017 8:56:52.740847 PM</t>
  </si>
  <si>
    <t>1/12/2017 8:56:52.980881 PM</t>
  </si>
  <si>
    <t>1/12/2017 8:56:56.941010 PM</t>
  </si>
  <si>
    <t>1/12/2017 8:56:45.768739 PM</t>
  </si>
  <si>
    <t>1/12/2017 8:57:22.749172 PM</t>
  </si>
  <si>
    <t>1/12/2017 8:57:15.251092 PM</t>
  </si>
  <si>
    <t>1/12/2017 8:56:50.110715 PM</t>
  </si>
  <si>
    <t>1/12/2017 8:56:41.037288 PM</t>
  </si>
  <si>
    <t>1/12/2017 8:57:19.441088 PM</t>
  </si>
  <si>
    <t>1/12/2017 8:57:09.605102 PM</t>
  </si>
  <si>
    <t>1/12/2017 8:57:06.721061 PM</t>
  </si>
  <si>
    <t>1/12/2017 8:57:05.821051 PM</t>
  </si>
  <si>
    <t>1/12/2017 8:57:19.077092 PM</t>
  </si>
  <si>
    <t>1/12/2017 8:57:11.895026 PM</t>
  </si>
  <si>
    <t>1/12/2017 8:56:56.705137 PM</t>
  </si>
  <si>
    <t>1/12/2017 8:56:51.418716 PM</t>
  </si>
  <si>
    <t>1/12/2017 8:57:15.075307 PM</t>
  </si>
  <si>
    <t>1/12/2017 8:57:04.089161 PM</t>
  </si>
  <si>
    <t>1/12/2017 8:56:45.114707 PM</t>
  </si>
  <si>
    <t>1/12/2017 8:57:24.371252 PM</t>
  </si>
  <si>
    <t>1/12/2017 8:57:22.267455 PM</t>
  </si>
  <si>
    <t>1/12/2017 8:57:17.353352 PM</t>
  </si>
  <si>
    <t>1/12/2017 8:57:17.294347 PM</t>
  </si>
  <si>
    <t>1/12/2017 8:56:59.165021 PM</t>
  </si>
  <si>
    <t>1/12/2017 8:57:15.193025 PM</t>
  </si>
  <si>
    <t>1/12/2017 8:57:01.381162 PM</t>
  </si>
  <si>
    <t>1/12/2017 8:56:49.869108 PM</t>
  </si>
  <si>
    <t>VH_ANN_SAL</t>
  </si>
  <si>
    <t>1/12/2017 8:57:04.861134 PM</t>
  </si>
  <si>
    <t>1/12/2017 8:57:02.761151 PM</t>
  </si>
  <si>
    <t>1/12/2017 8:57:22.447300 PM</t>
  </si>
  <si>
    <t>1/12/2017 8:57:15.965350 PM</t>
  </si>
  <si>
    <t>1/12/2017 8:57:07.335183 PM</t>
  </si>
  <si>
    <t>1/12/2017 8:57:05.344988 PM</t>
  </si>
  <si>
    <t>1/12/2017 8:56:47.304946 PM</t>
  </si>
  <si>
    <t>1/12/2017 8:57:03.419057 PM</t>
  </si>
  <si>
    <t>1/12/2017 8:56:47.857292 PM</t>
  </si>
  <si>
    <t>1/12/2017 8:56:45.172806 PM</t>
  </si>
  <si>
    <t>1/12/2017 8:57:02.160995 PM</t>
  </si>
  <si>
    <t>1/12/2017 8:56:51.063683 PM</t>
  </si>
  <si>
    <t>1/12/2017 8:56:43.816654 PM</t>
  </si>
  <si>
    <t>1/12/2017 8:57:06.961081 PM</t>
  </si>
  <si>
    <t>1/12/2017 8:56:41.396628 PM</t>
  </si>
  <si>
    <t>1/12/2017 8:57:20.521298 PM</t>
  </si>
  <si>
    <t>1/12/2017 8:56:43.641289 PM</t>
  </si>
  <si>
    <t>1/12/2017 8:57:01.258900 PM</t>
  </si>
  <si>
    <t>1/12/2017 8:56:46.834855 PM</t>
  </si>
  <si>
    <t>1/12/2017 8:57:21.727125 PM</t>
  </si>
  <si>
    <t>1/12/2017 8:56:53.043124 PM</t>
  </si>
  <si>
    <t>1/12/2017 8:56:52.147217 PM</t>
  </si>
  <si>
    <t>1/12/2017 8:56:45.826963 PM</t>
  </si>
  <si>
    <t>1/12/2017 8:56:41.937197 PM</t>
  </si>
  <si>
    <t>1/12/2017 8:57:20.403284 PM</t>
  </si>
  <si>
    <t>1/12/2017 8:57:19.319259 PM</t>
  </si>
  <si>
    <t>1/12/2017 8:57:03.539003 PM</t>
  </si>
  <si>
    <t>1/12/2017 8:57:01.867282 PM</t>
  </si>
  <si>
    <t>1/12/2017 8:57:07.923077 PM</t>
  </si>
  <si>
    <t>1/12/2017 8:57:01.618929 PM</t>
  </si>
  <si>
    <t>1/12/2017 8:57:22.807199 PM</t>
  </si>
  <si>
    <t>1/12/2017 8:57:22.515231 PM</t>
  </si>
  <si>
    <t>1/12/2017 8:56:55.444958 PM</t>
  </si>
  <si>
    <t>1/12/2017 8:57:01.927139 PM</t>
  </si>
  <si>
    <t>1/12/2017 8:57:03.241013 PM</t>
  </si>
  <si>
    <t>1/12/2017 8:57:03.906938 PM</t>
  </si>
  <si>
    <t>1/12/2017 8:57:09.841425 PM</t>
  </si>
  <si>
    <t>1/12/2017 8:57:22.089407 PM</t>
  </si>
  <si>
    <t>1/12/2017 8:56:53.462838 PM</t>
  </si>
  <si>
    <t>1/12/2017 8:56:58.141007 PM</t>
  </si>
  <si>
    <t>1/12/2017 8:56:41.996617 PM</t>
  </si>
  <si>
    <t>1/12/2017 8:56:44.236799 PM</t>
  </si>
  <si>
    <t>1/12/2017 8:57:19.261301 PM</t>
  </si>
  <si>
    <t>1/12/2017 8:57:08.099579 PM</t>
  </si>
  <si>
    <t>1/12/2017 8:56:49.456745 PM</t>
  </si>
  <si>
    <t>1/12/2017 8:57:13.744230 PM</t>
  </si>
  <si>
    <t>1/12/2017 8:56:48.096750 PM</t>
  </si>
  <si>
    <t>1/12/2017 8:56:40.858829 PM</t>
  </si>
  <si>
    <t>1/12/2017 8:57:00.657118 PM</t>
  </si>
  <si>
    <t>1/12/2017 8:56:40.684477 PM</t>
  </si>
  <si>
    <t>1/12/2017 8:57:01.501060 PM</t>
  </si>
  <si>
    <t>1/12/2017 8:56:58.741038 PM</t>
  </si>
  <si>
    <t>1/12/2017 8:56:59.463197 PM</t>
  </si>
  <si>
    <t>1/12/2017 8:56:57.840845 PM</t>
  </si>
  <si>
    <t>1/12/2017 8:56:55.741153 PM</t>
  </si>
  <si>
    <t>1/12/2017 8:57:17.947674 PM</t>
  </si>
  <si>
    <t>1/12/2017 8:56:45.234746 PM</t>
  </si>
  <si>
    <t>1/12/2017 8:57:23.221129 PM</t>
  </si>
  <si>
    <t>1/12/2017 8:57:00.776867 PM</t>
  </si>
  <si>
    <t>1/12/2017 8:57:24.429262 PM</t>
  </si>
  <si>
    <t>1/12/2017 8:56:56.883009 PM</t>
  </si>
  <si>
    <t>1/12/2017 8:56:43.581166 PM</t>
  </si>
  <si>
    <t>1/12/2017 8:57:14.651128 PM</t>
  </si>
  <si>
    <t>1/12/2017 8:56:49.106730 PM</t>
  </si>
  <si>
    <t>Age</t>
  </si>
  <si>
    <t xml:space="preserve">Client </t>
  </si>
  <si>
    <t>Spouse</t>
  </si>
  <si>
    <t>Income</t>
  </si>
  <si>
    <t>SS Age</t>
  </si>
  <si>
    <t>SS Estimate</t>
  </si>
  <si>
    <t>PV of Estimate</t>
  </si>
  <si>
    <t>Combined Estimate</t>
  </si>
  <si>
    <t>Wealth</t>
  </si>
  <si>
    <t>Period</t>
  </si>
  <si>
    <t>Growth</t>
  </si>
  <si>
    <t>Lost Growth</t>
  </si>
  <si>
    <t>RA</t>
  </si>
  <si>
    <t>Max Benefit</t>
  </si>
  <si>
    <t>Client Age</t>
  </si>
  <si>
    <t>Use 50%</t>
  </si>
  <si>
    <t>Use 100%</t>
  </si>
  <si>
    <t>Total Value</t>
  </si>
  <si>
    <t>Client SS Age</t>
  </si>
  <si>
    <t>Spouse SS Age</t>
  </si>
  <si>
    <t>Life Expectancy</t>
  </si>
  <si>
    <t>Optimized Claiming 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</si>
</sst>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mm/dd/yyyy\ hh:mm:ss"/>
    <numFmt numFmtId="165" formatCode="&quot;$&quot;#,##0.0000_);[Red]\(&quot;$&quot;#,##0.0000\)"/>
    <numFmt numFmtId="166" formatCode="_(* #,##0_);_(* \(#,##0\);_(* &quot;-&quot;??_);_(@_)"/>
  </numFmts>
  <fonts count="6" x14ac:knownFonts="1"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">
    <xf numFmtId="0" fontId="0" fillId="0" borderId="0" xfId="0"/>
    <xf numFmtId="3" fontId="2" fillId="0" borderId="0" xfId="0" applyNumberFormat="1" applyFont="1"/>
    <xf numFmtId="3" fontId="2" fillId="0" borderId="0" xfId="0" applyNumberFormat="1" applyFont="1"/>
    <xf numFmtId="0" fontId="2" fillId="0" borderId="0" xfId="0" applyFont="1"/>
    <xf numFmtId="0" fontId="1" fillId="2" borderId="0" xfId="0" applyFont="1" applyFill="1"/>
    <xf numFmtId="164" fontId="0" fillId="0" borderId="0" xfId="0" applyNumberFormat="1"/>
    <xf numFmtId="3" fontId="1" fillId="2" borderId="0" xfId="0" applyNumberFormat="1" applyFont="1" applyFill="1"/>
    <xf numFmtId="3" fontId="0" fillId="0" borderId="0" xfId="0" applyNumberFormat="1"/>
    <xf numFmtId="8" fontId="0" fillId="0" borderId="0" xfId="0" applyNumberFormat="1"/>
    <xf numFmtId="165" fontId="0" fillId="0" borderId="0" xfId="2" applyNumberFormat="1" applyFont="1"/>
    <xf numFmtId="166" fontId="0" fillId="0" borderId="0" xfId="1" applyNumberFormat="1" applyFont="1"/>
    <xf numFmtId="0" fontId="0" fillId="3" borderId="3" xfId="0" applyFill="1" applyBorder="1"/>
    <xf numFmtId="0" fontId="0" fillId="3" borderId="6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166" fontId="0" fillId="6" borderId="4" xfId="1" applyNumberFormat="1" applyFont="1" applyFill="1" applyBorder="1"/>
    <xf numFmtId="0" fontId="0" fillId="6" borderId="5" xfId="0" applyFill="1" applyBorder="1"/>
    <xf numFmtId="0" fontId="0" fillId="6" borderId="6" xfId="0" applyFill="1" applyBorder="1"/>
    <xf numFmtId="0" fontId="3" fillId="4" borderId="20" xfId="0" applyFont="1" applyFill="1" applyBorder="1"/>
    <xf numFmtId="166" fontId="3" fillId="4" borderId="20" xfId="1" applyNumberFormat="1" applyFont="1" applyFill="1" applyBorder="1"/>
    <xf numFmtId="6" fontId="3" fillId="4" borderId="20" xfId="0" applyNumberFormat="1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3" fillId="4" borderId="21" xfId="0" applyFont="1" applyFill="1" applyBorder="1"/>
    <xf numFmtId="0" fontId="3" fillId="4" borderId="12" xfId="0" applyFont="1" applyFill="1" applyBorder="1"/>
    <xf numFmtId="0" fontId="3" fillId="4" borderId="4" xfId="0" applyFont="1" applyFill="1" applyBorder="1"/>
    <xf numFmtId="166" fontId="3" fillId="4" borderId="5" xfId="1" applyNumberFormat="1" applyFont="1" applyFill="1" applyBorder="1"/>
    <xf numFmtId="0" fontId="3" fillId="4" borderId="6" xfId="0" applyFont="1" applyFill="1" applyBorder="1"/>
    <xf numFmtId="10" fontId="0" fillId="0" borderId="0" xfId="2" applyNumberFormat="1" applyFont="1"/>
    <xf numFmtId="0" fontId="4" fillId="5" borderId="19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3" fontId="0" fillId="0" borderId="0" xfId="0" applyNumberFormat="1" applyFont="1"/>
    <xf numFmtId="164" fontId="0" fillId="7" borderId="0" xfId="0" applyNumberFormat="1" applyFill="1"/>
    <xf numFmtId="3" fontId="2" fillId="7" borderId="0" xfId="0" applyNumberFormat="1" applyFont="1" applyFill="1"/>
    <xf numFmtId="0" fontId="2" fillId="7" borderId="0" xfId="0" applyFont="1" applyFill="1"/>
    <xf numFmtId="3" fontId="0" fillId="7" borderId="0" xfId="0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0</xdr:row>
          <xdr:rowOff>123825</xdr:rowOff>
        </xdr:from>
        <xdr:to>
          <xdr:col>10</xdr:col>
          <xdr:colOff>457200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85"/>
  <sheetViews>
    <sheetView tabSelected="1" workbookViewId="0"/>
  </sheetViews>
  <sheetFormatPr defaultRowHeight="12.75" x14ac:dyDescent="0.35"/>
  <cols>
    <col min="1" max="1" width="18.265625" bestFit="1" customWidth="1"/>
    <col min="2" max="2" width="8.59765625" bestFit="1" customWidth="1"/>
    <col min="3" max="3" width="13.265625" bestFit="1" customWidth="1"/>
    <col min="4" max="4" width="13.1328125" style="7" bestFit="1" customWidth="1"/>
    <col min="5" max="5" width="23" style="7" bestFit="1" customWidth="1"/>
    <col min="6" max="6" width="12.3984375" bestFit="1" customWidth="1"/>
    <col min="7" max="7" width="26.3984375" bestFit="1" customWidth="1"/>
  </cols>
  <sheetData>
    <row r="1" spans="1:10" x14ac:dyDescent="0.35">
      <c r="A1" s="4" t="s">
        <v>556</v>
      </c>
      <c r="B1" s="4" t="s">
        <v>693</v>
      </c>
      <c r="C1" s="4" t="s">
        <v>311</v>
      </c>
      <c r="D1" s="6" t="s">
        <v>727</v>
      </c>
      <c r="E1" s="6" t="s">
        <v>298</v>
      </c>
      <c r="F1" s="4" t="s">
        <v>263</v>
      </c>
      <c r="G1" s="4" t="s">
        <v>19</v>
      </c>
    </row>
    <row r="2" spans="1:10" x14ac:dyDescent="0.35">
      <c r="A2" s="5">
        <v>42736</v>
      </c>
      <c r="B2" s="1">
        <v>15</v>
      </c>
      <c r="C2" s="1">
        <v>62</v>
      </c>
      <c r="D2" s="2">
        <v>20000</v>
      </c>
      <c r="E2" s="2">
        <v>736</v>
      </c>
      <c r="F2" s="3" t="s">
        <v>56</v>
      </c>
      <c r="G2" s="3" t="s">
        <v>333</v>
      </c>
      <c r="H2" s="44">
        <v>0</v>
      </c>
    </row>
    <row r="3" spans="1:10" x14ac:dyDescent="0.35">
      <c r="A3" s="5">
        <v>42736</v>
      </c>
      <c r="B3" s="1">
        <v>15</v>
      </c>
      <c r="C3" s="1">
        <v>62</v>
      </c>
      <c r="D3" s="2">
        <v>40000</v>
      </c>
      <c r="E3" s="2">
        <v>1119</v>
      </c>
      <c r="F3" s="3" t="s">
        <v>56</v>
      </c>
      <c r="G3" s="3" t="s">
        <v>202</v>
      </c>
      <c r="H3" s="44">
        <v>1</v>
      </c>
    </row>
    <row r="4" spans="1:10" x14ac:dyDescent="0.35">
      <c r="A4" s="5">
        <v>42736</v>
      </c>
      <c r="B4" s="1">
        <v>15</v>
      </c>
      <c r="C4" s="1">
        <v>62</v>
      </c>
      <c r="D4" s="2">
        <v>60000</v>
      </c>
      <c r="E4" s="2">
        <v>1496</v>
      </c>
      <c r="F4" s="3" t="s">
        <v>56</v>
      </c>
      <c r="G4" s="3" t="s">
        <v>114</v>
      </c>
      <c r="H4" s="44">
        <v>2</v>
      </c>
    </row>
    <row r="5" spans="1:10" x14ac:dyDescent="0.35">
      <c r="A5" s="5">
        <v>42736</v>
      </c>
      <c r="B5" s="1">
        <v>15</v>
      </c>
      <c r="C5" s="1">
        <v>62</v>
      </c>
      <c r="D5" s="2">
        <v>80000</v>
      </c>
      <c r="E5" s="2">
        <v>1714</v>
      </c>
      <c r="F5" s="3" t="s">
        <v>56</v>
      </c>
      <c r="G5" s="3" t="s">
        <v>625</v>
      </c>
      <c r="H5" s="44">
        <v>3</v>
      </c>
    </row>
    <row r="6" spans="1:10" x14ac:dyDescent="0.35">
      <c r="A6" s="5">
        <v>42736</v>
      </c>
      <c r="B6" s="1">
        <v>15</v>
      </c>
      <c r="C6" s="1">
        <v>62</v>
      </c>
      <c r="D6" s="2">
        <v>100000</v>
      </c>
      <c r="E6" s="2">
        <v>1891</v>
      </c>
      <c r="F6" s="3" t="s">
        <v>56</v>
      </c>
      <c r="G6" s="3" t="s">
        <v>110</v>
      </c>
      <c r="H6" s="44">
        <v>4</v>
      </c>
    </row>
    <row r="7" spans="1:10" x14ac:dyDescent="0.35">
      <c r="A7" s="5">
        <v>42736</v>
      </c>
      <c r="B7" s="1">
        <v>15</v>
      </c>
      <c r="C7" s="1">
        <v>62</v>
      </c>
      <c r="D7" s="2">
        <v>120000</v>
      </c>
      <c r="E7" s="2">
        <v>2068</v>
      </c>
      <c r="F7" s="3" t="s">
        <v>56</v>
      </c>
      <c r="G7" s="3" t="s">
        <v>152</v>
      </c>
      <c r="H7" s="44">
        <v>5</v>
      </c>
    </row>
    <row r="8" spans="1:10" x14ac:dyDescent="0.35">
      <c r="A8" s="5">
        <v>42736</v>
      </c>
      <c r="B8" s="1">
        <v>15</v>
      </c>
      <c r="C8" s="1">
        <v>62</v>
      </c>
      <c r="D8" s="2">
        <v>127200</v>
      </c>
      <c r="E8" s="2">
        <v>2132</v>
      </c>
      <c r="F8" s="3" t="s">
        <v>56</v>
      </c>
      <c r="G8" s="3" t="s">
        <v>214</v>
      </c>
      <c r="H8" s="44">
        <v>6</v>
      </c>
    </row>
    <row r="9" spans="1:10" x14ac:dyDescent="0.35">
      <c r="A9" s="5">
        <v>42736</v>
      </c>
      <c r="B9" s="1">
        <v>15</v>
      </c>
      <c r="C9" s="1">
        <v>65</v>
      </c>
      <c r="D9" s="2">
        <v>20000</v>
      </c>
      <c r="E9" s="2">
        <v>912</v>
      </c>
      <c r="F9" s="3" t="s">
        <v>56</v>
      </c>
      <c r="G9" s="3" t="s">
        <v>53</v>
      </c>
      <c r="H9" s="44">
        <v>7</v>
      </c>
    </row>
    <row r="10" spans="1:10" x14ac:dyDescent="0.35">
      <c r="A10" s="5">
        <v>42736</v>
      </c>
      <c r="B10" s="1">
        <v>15</v>
      </c>
      <c r="C10" s="1">
        <v>65</v>
      </c>
      <c r="D10" s="2">
        <v>40000</v>
      </c>
      <c r="E10" s="2">
        <v>1386</v>
      </c>
      <c r="F10" s="3" t="s">
        <v>56</v>
      </c>
      <c r="G10" s="3" t="s">
        <v>148</v>
      </c>
      <c r="H10" s="44">
        <v>8</v>
      </c>
    </row>
    <row r="11" spans="1:10" x14ac:dyDescent="0.35">
      <c r="A11" s="5">
        <v>42736</v>
      </c>
      <c r="B11" s="1">
        <v>15</v>
      </c>
      <c r="C11" s="1">
        <v>65</v>
      </c>
      <c r="D11" s="2">
        <v>60000</v>
      </c>
      <c r="E11" s="2">
        <v>1855</v>
      </c>
      <c r="F11" s="3" t="s">
        <v>56</v>
      </c>
      <c r="G11" s="3" t="s">
        <v>190</v>
      </c>
      <c r="H11" s="44">
        <v>9</v>
      </c>
    </row>
    <row r="12" spans="1:10" x14ac:dyDescent="0.35">
      <c r="A12" s="45">
        <v>42736</v>
      </c>
      <c r="B12" s="46">
        <v>15</v>
      </c>
      <c r="C12" s="46">
        <v>65</v>
      </c>
      <c r="D12" s="46">
        <v>80000</v>
      </c>
      <c r="E12" s="46">
        <v>2124</v>
      </c>
      <c r="F12" s="47" t="s">
        <v>56</v>
      </c>
      <c r="G12" s="47" t="s">
        <v>666</v>
      </c>
      <c r="H12" s="48">
        <v>10</v>
      </c>
      <c r="I12" s="7">
        <f>AVERAGE(E12:E13)</f>
        <v>2233.5</v>
      </c>
    </row>
    <row r="13" spans="1:10" x14ac:dyDescent="0.35">
      <c r="A13" s="45">
        <v>42736</v>
      </c>
      <c r="B13" s="46">
        <v>15</v>
      </c>
      <c r="C13" s="46">
        <v>65</v>
      </c>
      <c r="D13" s="46">
        <v>100000</v>
      </c>
      <c r="E13" s="46">
        <v>2343</v>
      </c>
      <c r="F13" s="47" t="s">
        <v>56</v>
      </c>
      <c r="G13" s="47" t="s">
        <v>512</v>
      </c>
      <c r="H13" s="48">
        <v>11</v>
      </c>
      <c r="I13" s="7"/>
    </row>
    <row r="14" spans="1:10" x14ac:dyDescent="0.35">
      <c r="A14" s="5">
        <v>42736</v>
      </c>
      <c r="B14" s="1">
        <v>15</v>
      </c>
      <c r="C14" s="1">
        <v>65</v>
      </c>
      <c r="D14" s="2">
        <v>120000</v>
      </c>
      <c r="E14" s="2">
        <v>2563</v>
      </c>
      <c r="F14" s="3" t="s">
        <v>56</v>
      </c>
      <c r="G14" s="3" t="s">
        <v>538</v>
      </c>
      <c r="H14" s="44">
        <v>12</v>
      </c>
    </row>
    <row r="15" spans="1:10" x14ac:dyDescent="0.35">
      <c r="A15" s="5">
        <v>42736</v>
      </c>
      <c r="B15" s="1">
        <v>15</v>
      </c>
      <c r="C15" s="1">
        <v>65</v>
      </c>
      <c r="D15" s="2">
        <v>127200</v>
      </c>
      <c r="E15" s="2">
        <v>2642</v>
      </c>
      <c r="F15" s="3" t="s">
        <v>56</v>
      </c>
      <c r="G15" s="3" t="s">
        <v>262</v>
      </c>
      <c r="H15" s="44">
        <v>13</v>
      </c>
      <c r="J15" s="7">
        <f>AVERAGE(I12,I19)</f>
        <v>2406</v>
      </c>
    </row>
    <row r="16" spans="1:10" x14ac:dyDescent="0.35">
      <c r="A16" s="5">
        <v>42736</v>
      </c>
      <c r="B16" s="1">
        <v>15</v>
      </c>
      <c r="C16" s="1">
        <v>67</v>
      </c>
      <c r="D16" s="2">
        <v>20000</v>
      </c>
      <c r="E16" s="2">
        <v>1053</v>
      </c>
      <c r="F16" s="3" t="s">
        <v>56</v>
      </c>
      <c r="G16" s="3" t="s">
        <v>349</v>
      </c>
      <c r="H16" s="44">
        <v>14</v>
      </c>
    </row>
    <row r="17" spans="1:11" x14ac:dyDescent="0.35">
      <c r="A17" s="5">
        <v>42736</v>
      </c>
      <c r="B17" s="1">
        <v>15</v>
      </c>
      <c r="C17" s="1">
        <v>67</v>
      </c>
      <c r="D17" s="2">
        <v>40000</v>
      </c>
      <c r="E17" s="2">
        <v>1600</v>
      </c>
      <c r="F17" s="3" t="s">
        <v>56</v>
      </c>
      <c r="G17" s="3" t="s">
        <v>147</v>
      </c>
      <c r="H17" s="44">
        <v>15</v>
      </c>
    </row>
    <row r="18" spans="1:11" x14ac:dyDescent="0.35">
      <c r="A18" s="5">
        <v>42736</v>
      </c>
      <c r="B18" s="1">
        <v>15</v>
      </c>
      <c r="C18" s="1">
        <v>67</v>
      </c>
      <c r="D18" s="2">
        <v>60000</v>
      </c>
      <c r="E18" s="2">
        <v>2141</v>
      </c>
      <c r="F18" s="3" t="s">
        <v>56</v>
      </c>
      <c r="G18" s="3" t="s">
        <v>581</v>
      </c>
      <c r="H18" s="44">
        <v>16</v>
      </c>
    </row>
    <row r="19" spans="1:11" x14ac:dyDescent="0.35">
      <c r="A19" s="45">
        <v>42736</v>
      </c>
      <c r="B19" s="46">
        <v>15</v>
      </c>
      <c r="C19" s="46">
        <v>67</v>
      </c>
      <c r="D19" s="46">
        <v>80000</v>
      </c>
      <c r="E19" s="46">
        <v>2452</v>
      </c>
      <c r="F19" s="47" t="s">
        <v>56</v>
      </c>
      <c r="G19" s="47" t="s">
        <v>309</v>
      </c>
      <c r="H19" s="48">
        <v>17</v>
      </c>
      <c r="I19" s="7">
        <f>AVERAGE(E19:E20)</f>
        <v>2578.5</v>
      </c>
      <c r="J19" s="7"/>
      <c r="K19" s="7"/>
    </row>
    <row r="20" spans="1:11" x14ac:dyDescent="0.35">
      <c r="A20" s="45">
        <v>42736</v>
      </c>
      <c r="B20" s="46">
        <v>15</v>
      </c>
      <c r="C20" s="46">
        <v>67</v>
      </c>
      <c r="D20" s="46">
        <v>100000</v>
      </c>
      <c r="E20" s="46">
        <v>2705</v>
      </c>
      <c r="F20" s="47" t="s">
        <v>56</v>
      </c>
      <c r="G20" s="47" t="s">
        <v>373</v>
      </c>
      <c r="H20" s="48">
        <v>18</v>
      </c>
    </row>
    <row r="21" spans="1:11" x14ac:dyDescent="0.35">
      <c r="A21" s="5">
        <v>42736</v>
      </c>
      <c r="B21" s="1">
        <v>15</v>
      </c>
      <c r="C21" s="1">
        <v>67</v>
      </c>
      <c r="D21" s="2">
        <v>120000</v>
      </c>
      <c r="E21" s="2">
        <v>2959</v>
      </c>
      <c r="F21" s="3" t="s">
        <v>56</v>
      </c>
      <c r="G21" s="3" t="s">
        <v>174</v>
      </c>
      <c r="H21" s="44">
        <v>19</v>
      </c>
    </row>
    <row r="22" spans="1:11" x14ac:dyDescent="0.35">
      <c r="A22" s="5">
        <v>42736</v>
      </c>
      <c r="B22" s="1">
        <v>15</v>
      </c>
      <c r="C22" s="1">
        <v>67</v>
      </c>
      <c r="D22" s="2">
        <v>127200</v>
      </c>
      <c r="E22" s="2">
        <v>3050</v>
      </c>
      <c r="F22" s="3" t="s">
        <v>56</v>
      </c>
      <c r="G22" s="3" t="s">
        <v>420</v>
      </c>
      <c r="H22" s="44">
        <v>20</v>
      </c>
    </row>
    <row r="23" spans="1:11" x14ac:dyDescent="0.35">
      <c r="A23" s="5">
        <v>42736</v>
      </c>
      <c r="B23" s="1">
        <v>15</v>
      </c>
      <c r="C23" s="1">
        <v>70</v>
      </c>
      <c r="D23" s="2">
        <v>20000</v>
      </c>
      <c r="E23" s="2">
        <v>1297</v>
      </c>
      <c r="F23" s="3" t="s">
        <v>56</v>
      </c>
      <c r="G23" s="3" t="s">
        <v>777</v>
      </c>
      <c r="H23" s="44">
        <v>21</v>
      </c>
    </row>
    <row r="24" spans="1:11" x14ac:dyDescent="0.35">
      <c r="A24" s="5">
        <v>42736</v>
      </c>
      <c r="B24" s="1">
        <v>15</v>
      </c>
      <c r="C24" s="1">
        <v>70</v>
      </c>
      <c r="D24" s="2">
        <v>40000</v>
      </c>
      <c r="E24" s="2">
        <v>1958</v>
      </c>
      <c r="F24" s="3" t="s">
        <v>56</v>
      </c>
      <c r="G24" s="3" t="s">
        <v>419</v>
      </c>
      <c r="H24" s="44">
        <v>22</v>
      </c>
    </row>
    <row r="25" spans="1:11" x14ac:dyDescent="0.35">
      <c r="A25" s="5">
        <v>42736</v>
      </c>
      <c r="B25" s="1">
        <v>15</v>
      </c>
      <c r="C25" s="1">
        <v>70</v>
      </c>
      <c r="D25" s="2">
        <v>60000</v>
      </c>
      <c r="E25" s="2">
        <v>2620</v>
      </c>
      <c r="F25" s="3" t="s">
        <v>56</v>
      </c>
      <c r="G25" s="3" t="s">
        <v>170</v>
      </c>
      <c r="H25" s="44">
        <v>23</v>
      </c>
    </row>
    <row r="26" spans="1:11" x14ac:dyDescent="0.35">
      <c r="A26" s="5">
        <v>42736</v>
      </c>
      <c r="B26" s="1">
        <v>15</v>
      </c>
      <c r="C26" s="1">
        <v>70</v>
      </c>
      <c r="D26" s="2">
        <v>80000</v>
      </c>
      <c r="E26" s="2">
        <v>3001</v>
      </c>
      <c r="F26" s="3" t="s">
        <v>56</v>
      </c>
      <c r="G26" s="3" t="s">
        <v>775</v>
      </c>
      <c r="H26" s="44">
        <v>24</v>
      </c>
    </row>
    <row r="27" spans="1:11" x14ac:dyDescent="0.35">
      <c r="A27" s="5">
        <v>42736</v>
      </c>
      <c r="B27" s="1">
        <v>15</v>
      </c>
      <c r="C27" s="1">
        <v>70</v>
      </c>
      <c r="D27" s="2">
        <v>100000</v>
      </c>
      <c r="E27" s="2">
        <v>3311</v>
      </c>
      <c r="F27" s="3" t="s">
        <v>56</v>
      </c>
      <c r="G27" s="3" t="s">
        <v>273</v>
      </c>
      <c r="H27" s="44">
        <v>25</v>
      </c>
    </row>
    <row r="28" spans="1:11" x14ac:dyDescent="0.35">
      <c r="A28" s="5">
        <v>42736</v>
      </c>
      <c r="B28" s="1">
        <v>15</v>
      </c>
      <c r="C28" s="1">
        <v>70</v>
      </c>
      <c r="D28" s="2">
        <v>120000</v>
      </c>
      <c r="E28" s="2">
        <v>3621</v>
      </c>
      <c r="F28" s="3" t="s">
        <v>56</v>
      </c>
      <c r="G28" s="3" t="s">
        <v>404</v>
      </c>
      <c r="H28" s="44">
        <v>26</v>
      </c>
    </row>
    <row r="29" spans="1:11" x14ac:dyDescent="0.35">
      <c r="A29" s="5">
        <v>42736</v>
      </c>
      <c r="B29" s="1">
        <v>15</v>
      </c>
      <c r="C29" s="1">
        <v>70</v>
      </c>
      <c r="D29" s="2">
        <v>127200</v>
      </c>
      <c r="E29" s="2">
        <v>3732</v>
      </c>
      <c r="F29" s="3" t="s">
        <v>56</v>
      </c>
      <c r="G29" s="3" t="s">
        <v>707</v>
      </c>
      <c r="H29" s="44">
        <v>27</v>
      </c>
    </row>
    <row r="30" spans="1:11" x14ac:dyDescent="0.35">
      <c r="A30" s="5">
        <v>42736</v>
      </c>
      <c r="B30" s="1">
        <v>15</v>
      </c>
      <c r="C30" s="1">
        <v>75</v>
      </c>
      <c r="D30" s="2">
        <v>20000</v>
      </c>
      <c r="E30" s="2">
        <v>1297</v>
      </c>
      <c r="F30" s="3" t="s">
        <v>56</v>
      </c>
      <c r="G30" s="3" t="s">
        <v>165</v>
      </c>
      <c r="H30" s="44">
        <v>28</v>
      </c>
    </row>
    <row r="31" spans="1:11" x14ac:dyDescent="0.35">
      <c r="A31" s="5">
        <v>42736</v>
      </c>
      <c r="B31" s="1">
        <v>15</v>
      </c>
      <c r="C31" s="1">
        <v>75</v>
      </c>
      <c r="D31" s="2">
        <v>40000</v>
      </c>
      <c r="E31" s="2">
        <v>1958</v>
      </c>
      <c r="F31" s="3" t="s">
        <v>56</v>
      </c>
      <c r="G31" s="3" t="s">
        <v>325</v>
      </c>
      <c r="H31" s="44">
        <v>29</v>
      </c>
    </row>
    <row r="32" spans="1:11" x14ac:dyDescent="0.35">
      <c r="A32" s="5">
        <v>42736</v>
      </c>
      <c r="B32" s="1">
        <v>15</v>
      </c>
      <c r="C32" s="1">
        <v>75</v>
      </c>
      <c r="D32" s="2">
        <v>60000</v>
      </c>
      <c r="E32" s="2">
        <v>2620</v>
      </c>
      <c r="F32" s="3" t="s">
        <v>56</v>
      </c>
      <c r="G32" s="3" t="s">
        <v>400</v>
      </c>
      <c r="H32" s="44">
        <v>30</v>
      </c>
    </row>
    <row r="33" spans="1:8" x14ac:dyDescent="0.35">
      <c r="A33" s="5">
        <v>42736</v>
      </c>
      <c r="B33" s="1">
        <v>15</v>
      </c>
      <c r="C33" s="1">
        <v>75</v>
      </c>
      <c r="D33" s="2">
        <v>80000</v>
      </c>
      <c r="E33" s="2">
        <v>3001</v>
      </c>
      <c r="F33" s="3" t="s">
        <v>56</v>
      </c>
      <c r="G33" s="3" t="s">
        <v>372</v>
      </c>
      <c r="H33" s="44">
        <v>31</v>
      </c>
    </row>
    <row r="34" spans="1:8" x14ac:dyDescent="0.35">
      <c r="A34" s="5">
        <v>42736</v>
      </c>
      <c r="B34" s="1">
        <v>15</v>
      </c>
      <c r="C34" s="1">
        <v>75</v>
      </c>
      <c r="D34" s="2">
        <v>100000</v>
      </c>
      <c r="E34" s="2">
        <v>3311</v>
      </c>
      <c r="F34" s="3" t="s">
        <v>56</v>
      </c>
      <c r="G34" s="3" t="s">
        <v>189</v>
      </c>
      <c r="H34" s="44">
        <v>32</v>
      </c>
    </row>
    <row r="35" spans="1:8" x14ac:dyDescent="0.35">
      <c r="A35" s="5">
        <v>42736</v>
      </c>
      <c r="B35" s="1">
        <v>15</v>
      </c>
      <c r="C35" s="1">
        <v>75</v>
      </c>
      <c r="D35" s="2">
        <v>120000</v>
      </c>
      <c r="E35" s="2">
        <v>3621</v>
      </c>
      <c r="F35" s="3" t="s">
        <v>56</v>
      </c>
      <c r="G35" s="3" t="s">
        <v>742</v>
      </c>
      <c r="H35" s="44">
        <v>33</v>
      </c>
    </row>
    <row r="36" spans="1:8" x14ac:dyDescent="0.35">
      <c r="A36" s="5">
        <v>42736</v>
      </c>
      <c r="B36" s="1">
        <v>15</v>
      </c>
      <c r="C36" s="1">
        <v>75</v>
      </c>
      <c r="D36" s="2">
        <v>127200</v>
      </c>
      <c r="E36" s="2">
        <v>3732</v>
      </c>
      <c r="F36" s="3" t="s">
        <v>56</v>
      </c>
      <c r="G36" s="3" t="s">
        <v>504</v>
      </c>
      <c r="H36" s="44">
        <v>34</v>
      </c>
    </row>
    <row r="37" spans="1:8" x14ac:dyDescent="0.35">
      <c r="A37" s="5">
        <v>42736</v>
      </c>
      <c r="B37" s="1">
        <v>15</v>
      </c>
      <c r="C37" s="1">
        <v>80</v>
      </c>
      <c r="D37" s="2">
        <v>20000</v>
      </c>
      <c r="E37" s="2">
        <v>1297</v>
      </c>
      <c r="F37" s="3" t="s">
        <v>56</v>
      </c>
      <c r="G37" s="3" t="s">
        <v>426</v>
      </c>
      <c r="H37" s="44">
        <v>35</v>
      </c>
    </row>
    <row r="38" spans="1:8" x14ac:dyDescent="0.35">
      <c r="A38" s="5">
        <v>42736</v>
      </c>
      <c r="B38" s="1">
        <v>15</v>
      </c>
      <c r="C38" s="1">
        <v>80</v>
      </c>
      <c r="D38" s="2">
        <v>40000</v>
      </c>
      <c r="E38" s="2">
        <v>1958</v>
      </c>
      <c r="F38" s="3" t="s">
        <v>56</v>
      </c>
      <c r="G38" s="3" t="s">
        <v>545</v>
      </c>
      <c r="H38" s="44">
        <v>36</v>
      </c>
    </row>
    <row r="39" spans="1:8" x14ac:dyDescent="0.35">
      <c r="A39" s="5">
        <v>42736</v>
      </c>
      <c r="B39" s="1">
        <v>15</v>
      </c>
      <c r="C39" s="1">
        <v>80</v>
      </c>
      <c r="D39" s="2">
        <v>60000</v>
      </c>
      <c r="E39" s="2">
        <v>2620</v>
      </c>
      <c r="F39" s="3" t="s">
        <v>56</v>
      </c>
      <c r="G39" s="3" t="s">
        <v>568</v>
      </c>
      <c r="H39" s="44">
        <v>37</v>
      </c>
    </row>
    <row r="40" spans="1:8" x14ac:dyDescent="0.35">
      <c r="A40" s="5">
        <v>42736</v>
      </c>
      <c r="B40" s="1">
        <v>15</v>
      </c>
      <c r="C40" s="1">
        <v>80</v>
      </c>
      <c r="D40" s="2">
        <v>80000</v>
      </c>
      <c r="E40" s="2">
        <v>3001</v>
      </c>
      <c r="F40" s="3" t="s">
        <v>56</v>
      </c>
      <c r="G40" s="3" t="s">
        <v>121</v>
      </c>
      <c r="H40" s="44">
        <v>38</v>
      </c>
    </row>
    <row r="41" spans="1:8" x14ac:dyDescent="0.35">
      <c r="A41" s="5">
        <v>42736</v>
      </c>
      <c r="B41" s="1">
        <v>15</v>
      </c>
      <c r="C41" s="1">
        <v>80</v>
      </c>
      <c r="D41" s="2">
        <v>100000</v>
      </c>
      <c r="E41" s="2">
        <v>3311</v>
      </c>
      <c r="F41" s="3" t="s">
        <v>56</v>
      </c>
      <c r="G41" s="3" t="s">
        <v>227</v>
      </c>
      <c r="H41" s="44">
        <v>39</v>
      </c>
    </row>
    <row r="42" spans="1:8" x14ac:dyDescent="0.35">
      <c r="A42" s="5">
        <v>42736</v>
      </c>
      <c r="B42" s="1">
        <v>15</v>
      </c>
      <c r="C42" s="1">
        <v>80</v>
      </c>
      <c r="D42" s="2">
        <v>120000</v>
      </c>
      <c r="E42" s="2">
        <v>3621</v>
      </c>
      <c r="F42" s="3" t="s">
        <v>56</v>
      </c>
      <c r="G42" s="3" t="s">
        <v>431</v>
      </c>
      <c r="H42" s="44">
        <v>40</v>
      </c>
    </row>
    <row r="43" spans="1:8" x14ac:dyDescent="0.35">
      <c r="A43" s="5">
        <v>42736</v>
      </c>
      <c r="B43" s="1">
        <v>15</v>
      </c>
      <c r="C43" s="1">
        <v>80</v>
      </c>
      <c r="D43" s="2">
        <v>127200</v>
      </c>
      <c r="E43" s="2">
        <v>3732</v>
      </c>
      <c r="F43" s="3" t="s">
        <v>56</v>
      </c>
      <c r="G43" s="3" t="s">
        <v>268</v>
      </c>
      <c r="H43" s="44">
        <v>41</v>
      </c>
    </row>
    <row r="44" spans="1:8" x14ac:dyDescent="0.35">
      <c r="A44" s="5">
        <v>42736</v>
      </c>
      <c r="B44" s="1">
        <v>15</v>
      </c>
      <c r="C44" s="1">
        <v>85</v>
      </c>
      <c r="D44" s="2">
        <v>20000</v>
      </c>
      <c r="E44" s="2">
        <v>1297</v>
      </c>
      <c r="F44" s="3" t="s">
        <v>56</v>
      </c>
      <c r="G44" s="3" t="s">
        <v>751</v>
      </c>
      <c r="H44" s="44">
        <v>42</v>
      </c>
    </row>
    <row r="45" spans="1:8" x14ac:dyDescent="0.35">
      <c r="A45" s="5">
        <v>42736</v>
      </c>
      <c r="B45" s="1">
        <v>15</v>
      </c>
      <c r="C45" s="1">
        <v>85</v>
      </c>
      <c r="D45" s="2">
        <v>40000</v>
      </c>
      <c r="E45" s="2">
        <v>1958</v>
      </c>
      <c r="F45" s="3" t="s">
        <v>56</v>
      </c>
      <c r="G45" s="3" t="s">
        <v>768</v>
      </c>
      <c r="H45" s="44">
        <v>43</v>
      </c>
    </row>
    <row r="46" spans="1:8" x14ac:dyDescent="0.35">
      <c r="A46" s="5">
        <v>42736</v>
      </c>
      <c r="B46" s="1">
        <v>15</v>
      </c>
      <c r="C46" s="1">
        <v>85</v>
      </c>
      <c r="D46" s="2">
        <v>60000</v>
      </c>
      <c r="E46" s="2">
        <v>2620</v>
      </c>
      <c r="F46" s="3" t="s">
        <v>56</v>
      </c>
      <c r="G46" s="3" t="s">
        <v>169</v>
      </c>
      <c r="H46" s="44">
        <v>44</v>
      </c>
    </row>
    <row r="47" spans="1:8" x14ac:dyDescent="0.35">
      <c r="A47" s="5">
        <v>42736</v>
      </c>
      <c r="B47" s="1">
        <v>15</v>
      </c>
      <c r="C47" s="1">
        <v>85</v>
      </c>
      <c r="D47" s="2">
        <v>80000</v>
      </c>
      <c r="E47" s="2">
        <v>3001</v>
      </c>
      <c r="F47" s="3" t="s">
        <v>56</v>
      </c>
      <c r="G47" s="3" t="s">
        <v>623</v>
      </c>
      <c r="H47" s="44">
        <v>45</v>
      </c>
    </row>
    <row r="48" spans="1:8" x14ac:dyDescent="0.35">
      <c r="A48" s="5">
        <v>42736</v>
      </c>
      <c r="B48" s="1">
        <v>15</v>
      </c>
      <c r="C48" s="1">
        <v>85</v>
      </c>
      <c r="D48" s="2">
        <v>100000</v>
      </c>
      <c r="E48" s="2">
        <v>3311</v>
      </c>
      <c r="F48" s="3" t="s">
        <v>56</v>
      </c>
      <c r="G48" s="3" t="s">
        <v>36</v>
      </c>
      <c r="H48" s="44">
        <v>46</v>
      </c>
    </row>
    <row r="49" spans="1:10" x14ac:dyDescent="0.35">
      <c r="A49" s="5">
        <v>42736</v>
      </c>
      <c r="B49" s="1">
        <v>15</v>
      </c>
      <c r="C49" s="1">
        <v>85</v>
      </c>
      <c r="D49" s="2">
        <v>120000</v>
      </c>
      <c r="E49" s="2">
        <v>3621</v>
      </c>
      <c r="F49" s="3" t="s">
        <v>56</v>
      </c>
      <c r="G49" s="3" t="s">
        <v>267</v>
      </c>
      <c r="H49" s="44">
        <v>47</v>
      </c>
    </row>
    <row r="50" spans="1:10" x14ac:dyDescent="0.35">
      <c r="A50" s="5">
        <v>42736</v>
      </c>
      <c r="B50" s="1">
        <v>15</v>
      </c>
      <c r="C50" s="1">
        <v>85</v>
      </c>
      <c r="D50" s="2">
        <v>127200</v>
      </c>
      <c r="E50" s="2">
        <v>3732</v>
      </c>
      <c r="F50" s="3" t="s">
        <v>56</v>
      </c>
      <c r="G50" s="3" t="s">
        <v>257</v>
      </c>
      <c r="H50" s="44">
        <v>48</v>
      </c>
    </row>
    <row r="51" spans="1:10" x14ac:dyDescent="0.35">
      <c r="A51" s="5">
        <v>42736</v>
      </c>
      <c r="B51" s="1">
        <v>20</v>
      </c>
      <c r="C51" s="1">
        <v>62</v>
      </c>
      <c r="D51" s="2">
        <v>20000</v>
      </c>
      <c r="E51" s="2">
        <v>736</v>
      </c>
      <c r="F51" s="3" t="s">
        <v>56</v>
      </c>
      <c r="G51" s="3" t="s">
        <v>139</v>
      </c>
      <c r="H51" s="44">
        <v>49</v>
      </c>
    </row>
    <row r="52" spans="1:10" x14ac:dyDescent="0.35">
      <c r="A52" s="5">
        <v>42736</v>
      </c>
      <c r="B52" s="1">
        <v>20</v>
      </c>
      <c r="C52" s="1">
        <v>62</v>
      </c>
      <c r="D52" s="2">
        <v>40000</v>
      </c>
      <c r="E52" s="2">
        <v>1119</v>
      </c>
      <c r="F52" s="3" t="s">
        <v>56</v>
      </c>
      <c r="G52" s="3" t="s">
        <v>472</v>
      </c>
      <c r="H52" s="44">
        <v>50</v>
      </c>
    </row>
    <row r="53" spans="1:10" x14ac:dyDescent="0.35">
      <c r="A53" s="5">
        <v>42736</v>
      </c>
      <c r="B53" s="1">
        <v>20</v>
      </c>
      <c r="C53" s="1">
        <v>62</v>
      </c>
      <c r="D53" s="2">
        <v>60000</v>
      </c>
      <c r="E53" s="2">
        <v>1496</v>
      </c>
      <c r="F53" s="3" t="s">
        <v>56</v>
      </c>
      <c r="G53" s="3" t="s">
        <v>137</v>
      </c>
      <c r="H53" s="44">
        <v>51</v>
      </c>
    </row>
    <row r="54" spans="1:10" x14ac:dyDescent="0.35">
      <c r="A54" s="5">
        <v>42736</v>
      </c>
      <c r="B54" s="1">
        <v>20</v>
      </c>
      <c r="C54" s="1">
        <v>62</v>
      </c>
      <c r="D54" s="2">
        <v>80000</v>
      </c>
      <c r="E54" s="2">
        <v>1714</v>
      </c>
      <c r="F54" s="3" t="s">
        <v>56</v>
      </c>
      <c r="G54" s="3" t="s">
        <v>30</v>
      </c>
      <c r="H54" s="44">
        <v>52</v>
      </c>
    </row>
    <row r="55" spans="1:10" x14ac:dyDescent="0.35">
      <c r="A55" s="5">
        <v>42736</v>
      </c>
      <c r="B55" s="1">
        <v>20</v>
      </c>
      <c r="C55" s="1">
        <v>62</v>
      </c>
      <c r="D55" s="2">
        <v>100000</v>
      </c>
      <c r="E55" s="2">
        <v>1891</v>
      </c>
      <c r="F55" s="3" t="s">
        <v>56</v>
      </c>
      <c r="G55" s="3" t="s">
        <v>681</v>
      </c>
      <c r="H55" s="44">
        <v>53</v>
      </c>
    </row>
    <row r="56" spans="1:10" x14ac:dyDescent="0.35">
      <c r="A56" s="5">
        <v>42736</v>
      </c>
      <c r="B56" s="1">
        <v>20</v>
      </c>
      <c r="C56" s="1">
        <v>62</v>
      </c>
      <c r="D56" s="2">
        <v>120000</v>
      </c>
      <c r="E56" s="2">
        <v>2068</v>
      </c>
      <c r="F56" s="3" t="s">
        <v>56</v>
      </c>
      <c r="G56" s="3" t="s">
        <v>656</v>
      </c>
      <c r="H56" s="44">
        <v>54</v>
      </c>
    </row>
    <row r="57" spans="1:10" x14ac:dyDescent="0.35">
      <c r="A57" s="5">
        <v>42736</v>
      </c>
      <c r="B57" s="1">
        <v>20</v>
      </c>
      <c r="C57" s="1">
        <v>62</v>
      </c>
      <c r="D57" s="2">
        <v>127200</v>
      </c>
      <c r="E57" s="2">
        <v>2132</v>
      </c>
      <c r="F57" s="3" t="s">
        <v>56</v>
      </c>
      <c r="G57" s="3" t="s">
        <v>635</v>
      </c>
      <c r="H57" s="44">
        <v>55</v>
      </c>
    </row>
    <row r="58" spans="1:10" x14ac:dyDescent="0.35">
      <c r="A58" s="5">
        <v>42736</v>
      </c>
      <c r="B58" s="1">
        <v>20</v>
      </c>
      <c r="C58" s="1">
        <v>65</v>
      </c>
      <c r="D58" s="2">
        <v>20000</v>
      </c>
      <c r="E58" s="2">
        <v>912</v>
      </c>
      <c r="F58" s="3" t="s">
        <v>56</v>
      </c>
      <c r="G58" s="3" t="s">
        <v>63</v>
      </c>
      <c r="H58" s="44">
        <v>56</v>
      </c>
    </row>
    <row r="59" spans="1:10" x14ac:dyDescent="0.35">
      <c r="A59" s="5">
        <v>42736</v>
      </c>
      <c r="B59" s="1">
        <v>20</v>
      </c>
      <c r="C59" s="1">
        <v>65</v>
      </c>
      <c r="D59" s="2">
        <v>40000</v>
      </c>
      <c r="E59" s="2">
        <v>1386</v>
      </c>
      <c r="F59" s="3" t="s">
        <v>56</v>
      </c>
      <c r="G59" s="3" t="s">
        <v>486</v>
      </c>
      <c r="H59" s="44">
        <v>57</v>
      </c>
    </row>
    <row r="60" spans="1:10" x14ac:dyDescent="0.35">
      <c r="A60" s="5">
        <v>42736</v>
      </c>
      <c r="B60" s="1">
        <v>20</v>
      </c>
      <c r="C60" s="1">
        <v>65</v>
      </c>
      <c r="D60" s="2">
        <v>60000</v>
      </c>
      <c r="E60" s="2">
        <v>1855</v>
      </c>
      <c r="F60" s="3" t="s">
        <v>56</v>
      </c>
      <c r="G60" s="3" t="s">
        <v>162</v>
      </c>
      <c r="H60" s="44">
        <v>58</v>
      </c>
    </row>
    <row r="61" spans="1:10" x14ac:dyDescent="0.35">
      <c r="A61" s="45">
        <v>42736</v>
      </c>
      <c r="B61" s="46">
        <v>20</v>
      </c>
      <c r="C61" s="46">
        <v>65</v>
      </c>
      <c r="D61" s="46">
        <v>80000</v>
      </c>
      <c r="E61" s="46">
        <v>2124</v>
      </c>
      <c r="F61" s="47" t="s">
        <v>56</v>
      </c>
      <c r="G61" s="47" t="s">
        <v>304</v>
      </c>
      <c r="H61" s="48">
        <v>59</v>
      </c>
      <c r="I61" s="7">
        <f>AVERAGE(E61:E62)</f>
        <v>2233.5</v>
      </c>
      <c r="J61">
        <f>0.4*I61</f>
        <v>893.40000000000009</v>
      </c>
    </row>
    <row r="62" spans="1:10" x14ac:dyDescent="0.35">
      <c r="A62" s="45">
        <v>42736</v>
      </c>
      <c r="B62" s="46">
        <v>20</v>
      </c>
      <c r="C62" s="46">
        <v>65</v>
      </c>
      <c r="D62" s="46">
        <v>100000</v>
      </c>
      <c r="E62" s="46">
        <v>2343</v>
      </c>
      <c r="F62" s="47" t="s">
        <v>56</v>
      </c>
      <c r="G62" s="47" t="s">
        <v>37</v>
      </c>
      <c r="H62" s="48">
        <v>60</v>
      </c>
      <c r="I62" s="7"/>
    </row>
    <row r="63" spans="1:10" x14ac:dyDescent="0.35">
      <c r="A63" s="5">
        <v>42736</v>
      </c>
      <c r="B63" s="1">
        <v>20</v>
      </c>
      <c r="C63" s="1">
        <v>65</v>
      </c>
      <c r="D63" s="2">
        <v>120000</v>
      </c>
      <c r="E63" s="2">
        <v>2563</v>
      </c>
      <c r="F63" s="3" t="s">
        <v>56</v>
      </c>
      <c r="G63" s="3" t="s">
        <v>562</v>
      </c>
      <c r="H63" s="44">
        <v>61</v>
      </c>
    </row>
    <row r="64" spans="1:10" x14ac:dyDescent="0.35">
      <c r="A64" s="5">
        <v>42736</v>
      </c>
      <c r="B64" s="1">
        <v>20</v>
      </c>
      <c r="C64" s="1">
        <v>65</v>
      </c>
      <c r="D64" s="2">
        <v>127200</v>
      </c>
      <c r="E64" s="2">
        <v>2642</v>
      </c>
      <c r="F64" s="3" t="s">
        <v>56</v>
      </c>
      <c r="G64" s="3" t="s">
        <v>395</v>
      </c>
      <c r="H64" s="44">
        <v>62</v>
      </c>
    </row>
    <row r="65" spans="1:11" x14ac:dyDescent="0.35">
      <c r="A65" s="5">
        <v>42736</v>
      </c>
      <c r="B65" s="1">
        <v>20</v>
      </c>
      <c r="C65" s="1">
        <v>67</v>
      </c>
      <c r="D65" s="2">
        <v>20000</v>
      </c>
      <c r="E65" s="2">
        <v>1053</v>
      </c>
      <c r="F65" s="3" t="s">
        <v>56</v>
      </c>
      <c r="G65" s="3" t="s">
        <v>591</v>
      </c>
      <c r="H65" s="44">
        <v>63</v>
      </c>
    </row>
    <row r="66" spans="1:11" x14ac:dyDescent="0.35">
      <c r="A66" s="5">
        <v>42736</v>
      </c>
      <c r="B66" s="1">
        <v>20</v>
      </c>
      <c r="C66" s="1">
        <v>67</v>
      </c>
      <c r="D66" s="2">
        <v>40000</v>
      </c>
      <c r="E66" s="2">
        <v>1600</v>
      </c>
      <c r="F66" s="3" t="s">
        <v>56</v>
      </c>
      <c r="G66" s="3" t="s">
        <v>143</v>
      </c>
      <c r="H66" s="44">
        <v>64</v>
      </c>
    </row>
    <row r="67" spans="1:11" x14ac:dyDescent="0.35">
      <c r="A67" s="5">
        <v>42736</v>
      </c>
      <c r="B67" s="1">
        <v>20</v>
      </c>
      <c r="C67" s="1">
        <v>67</v>
      </c>
      <c r="D67" s="2">
        <v>60000</v>
      </c>
      <c r="E67" s="2">
        <v>2141</v>
      </c>
      <c r="F67" s="3" t="s">
        <v>56</v>
      </c>
      <c r="G67" s="3" t="s">
        <v>371</v>
      </c>
      <c r="H67" s="44">
        <v>65</v>
      </c>
    </row>
    <row r="68" spans="1:11" x14ac:dyDescent="0.35">
      <c r="A68" s="45">
        <v>42736</v>
      </c>
      <c r="B68" s="46">
        <v>20</v>
      </c>
      <c r="C68" s="46">
        <v>67</v>
      </c>
      <c r="D68" s="46">
        <v>80000</v>
      </c>
      <c r="E68" s="46">
        <v>2452</v>
      </c>
      <c r="F68" s="47" t="s">
        <v>56</v>
      </c>
      <c r="G68" s="47" t="s">
        <v>314</v>
      </c>
      <c r="H68" s="48">
        <v>66</v>
      </c>
      <c r="I68" s="7">
        <f>AVERAGE(E68:E69)</f>
        <v>2578.5</v>
      </c>
      <c r="J68" s="7">
        <f>0.6*I68</f>
        <v>1547.1</v>
      </c>
      <c r="K68" s="7">
        <f>J68+J61</f>
        <v>2440.5</v>
      </c>
    </row>
    <row r="69" spans="1:11" x14ac:dyDescent="0.35">
      <c r="A69" s="45">
        <v>42736</v>
      </c>
      <c r="B69" s="46">
        <v>20</v>
      </c>
      <c r="C69" s="46">
        <v>67</v>
      </c>
      <c r="D69" s="46">
        <v>100000</v>
      </c>
      <c r="E69" s="46">
        <v>2705</v>
      </c>
      <c r="F69" s="47" t="s">
        <v>56</v>
      </c>
      <c r="G69" s="47" t="s">
        <v>223</v>
      </c>
      <c r="H69" s="48">
        <v>67</v>
      </c>
    </row>
    <row r="70" spans="1:11" x14ac:dyDescent="0.35">
      <c r="A70" s="5">
        <v>42736</v>
      </c>
      <c r="B70" s="1">
        <v>20</v>
      </c>
      <c r="C70" s="1">
        <v>67</v>
      </c>
      <c r="D70" s="2">
        <v>120000</v>
      </c>
      <c r="E70" s="2">
        <v>2959</v>
      </c>
      <c r="F70" s="3" t="s">
        <v>56</v>
      </c>
      <c r="G70" s="3" t="s">
        <v>246</v>
      </c>
      <c r="H70" s="44">
        <v>68</v>
      </c>
    </row>
    <row r="71" spans="1:11" x14ac:dyDescent="0.35">
      <c r="A71" s="5">
        <v>42736</v>
      </c>
      <c r="B71" s="1">
        <v>20</v>
      </c>
      <c r="C71" s="1">
        <v>67</v>
      </c>
      <c r="D71" s="2">
        <v>127200</v>
      </c>
      <c r="E71" s="2">
        <v>3050</v>
      </c>
      <c r="F71" s="3" t="s">
        <v>56</v>
      </c>
      <c r="G71" s="3" t="s">
        <v>789</v>
      </c>
      <c r="H71" s="44">
        <v>69</v>
      </c>
    </row>
    <row r="72" spans="1:11" x14ac:dyDescent="0.35">
      <c r="A72" s="5">
        <v>42736</v>
      </c>
      <c r="B72" s="1">
        <v>20</v>
      </c>
      <c r="C72" s="1">
        <v>70</v>
      </c>
      <c r="D72" s="2">
        <v>20000</v>
      </c>
      <c r="E72" s="2">
        <v>1297</v>
      </c>
      <c r="F72" s="3" t="s">
        <v>56</v>
      </c>
      <c r="G72" s="3" t="s">
        <v>744</v>
      </c>
      <c r="H72" s="44">
        <v>70</v>
      </c>
    </row>
    <row r="73" spans="1:11" x14ac:dyDescent="0.35">
      <c r="A73" s="5">
        <v>42736</v>
      </c>
      <c r="B73" s="1">
        <v>20</v>
      </c>
      <c r="C73" s="1">
        <v>70</v>
      </c>
      <c r="D73" s="2">
        <v>40000</v>
      </c>
      <c r="E73" s="2">
        <v>1958</v>
      </c>
      <c r="F73" s="3" t="s">
        <v>56</v>
      </c>
      <c r="G73" s="3" t="s">
        <v>256</v>
      </c>
      <c r="H73" s="44">
        <v>71</v>
      </c>
    </row>
    <row r="74" spans="1:11" x14ac:dyDescent="0.35">
      <c r="A74" s="5">
        <v>42736</v>
      </c>
      <c r="B74" s="1">
        <v>20</v>
      </c>
      <c r="C74" s="1">
        <v>70</v>
      </c>
      <c r="D74" s="2">
        <v>60000</v>
      </c>
      <c r="E74" s="2">
        <v>2620</v>
      </c>
      <c r="F74" s="3" t="s">
        <v>56</v>
      </c>
      <c r="G74" s="3" t="s">
        <v>561</v>
      </c>
      <c r="H74" s="44">
        <v>72</v>
      </c>
    </row>
    <row r="75" spans="1:11" x14ac:dyDescent="0.35">
      <c r="A75" s="5">
        <v>42736</v>
      </c>
      <c r="B75" s="1">
        <v>20</v>
      </c>
      <c r="C75" s="1">
        <v>70</v>
      </c>
      <c r="D75" s="2">
        <v>80000</v>
      </c>
      <c r="E75" s="2">
        <v>3001</v>
      </c>
      <c r="F75" s="3" t="s">
        <v>56</v>
      </c>
      <c r="G75" s="3" t="s">
        <v>740</v>
      </c>
      <c r="H75" s="44">
        <v>73</v>
      </c>
    </row>
    <row r="76" spans="1:11" x14ac:dyDescent="0.35">
      <c r="A76" s="5">
        <v>42736</v>
      </c>
      <c r="B76" s="1">
        <v>20</v>
      </c>
      <c r="C76" s="1">
        <v>70</v>
      </c>
      <c r="D76" s="2">
        <v>100000</v>
      </c>
      <c r="E76" s="2">
        <v>3311</v>
      </c>
      <c r="F76" s="3" t="s">
        <v>56</v>
      </c>
      <c r="G76" s="3" t="s">
        <v>177</v>
      </c>
      <c r="H76" s="44">
        <v>74</v>
      </c>
    </row>
    <row r="77" spans="1:11" x14ac:dyDescent="0.35">
      <c r="A77" s="5">
        <v>42736</v>
      </c>
      <c r="B77" s="1">
        <v>20</v>
      </c>
      <c r="C77" s="1">
        <v>70</v>
      </c>
      <c r="D77" s="2">
        <v>120000</v>
      </c>
      <c r="E77" s="2">
        <v>3621</v>
      </c>
      <c r="F77" s="3" t="s">
        <v>56</v>
      </c>
      <c r="G77" s="3" t="s">
        <v>460</v>
      </c>
      <c r="H77" s="44">
        <v>75</v>
      </c>
    </row>
    <row r="78" spans="1:11" x14ac:dyDescent="0.35">
      <c r="A78" s="5">
        <v>42736</v>
      </c>
      <c r="B78" s="1">
        <v>20</v>
      </c>
      <c r="C78" s="1">
        <v>70</v>
      </c>
      <c r="D78" s="2">
        <v>127200</v>
      </c>
      <c r="E78" s="2">
        <v>3732</v>
      </c>
      <c r="F78" s="3" t="s">
        <v>56</v>
      </c>
      <c r="G78" s="3" t="s">
        <v>614</v>
      </c>
      <c r="H78" s="44">
        <v>76</v>
      </c>
    </row>
    <row r="79" spans="1:11" x14ac:dyDescent="0.35">
      <c r="A79" s="5">
        <v>42736</v>
      </c>
      <c r="B79" s="1">
        <v>20</v>
      </c>
      <c r="C79" s="1">
        <v>75</v>
      </c>
      <c r="D79" s="2">
        <v>20000</v>
      </c>
      <c r="E79" s="2">
        <v>1297</v>
      </c>
      <c r="F79" s="3" t="s">
        <v>56</v>
      </c>
      <c r="G79" s="3" t="s">
        <v>5</v>
      </c>
      <c r="H79" s="44">
        <v>77</v>
      </c>
    </row>
    <row r="80" spans="1:11" x14ac:dyDescent="0.35">
      <c r="A80" s="5">
        <v>42736</v>
      </c>
      <c r="B80" s="1">
        <v>20</v>
      </c>
      <c r="C80" s="1">
        <v>75</v>
      </c>
      <c r="D80" s="2">
        <v>40000</v>
      </c>
      <c r="E80" s="2">
        <v>1958</v>
      </c>
      <c r="F80" s="3" t="s">
        <v>56</v>
      </c>
      <c r="G80" s="3" t="s">
        <v>482</v>
      </c>
      <c r="H80" s="44">
        <v>78</v>
      </c>
    </row>
    <row r="81" spans="1:8" x14ac:dyDescent="0.35">
      <c r="A81" s="5">
        <v>42736</v>
      </c>
      <c r="B81" s="1">
        <v>20</v>
      </c>
      <c r="C81" s="1">
        <v>75</v>
      </c>
      <c r="D81" s="2">
        <v>60000</v>
      </c>
      <c r="E81" s="2">
        <v>2620</v>
      </c>
      <c r="F81" s="3" t="s">
        <v>56</v>
      </c>
      <c r="G81" s="3" t="s">
        <v>597</v>
      </c>
      <c r="H81" s="44">
        <v>79</v>
      </c>
    </row>
    <row r="82" spans="1:8" x14ac:dyDescent="0.35">
      <c r="A82" s="5">
        <v>42736</v>
      </c>
      <c r="B82" s="1">
        <v>20</v>
      </c>
      <c r="C82" s="1">
        <v>75</v>
      </c>
      <c r="D82" s="2">
        <v>80000</v>
      </c>
      <c r="E82" s="2">
        <v>3001</v>
      </c>
      <c r="F82" s="3" t="s">
        <v>56</v>
      </c>
      <c r="G82" s="3" t="s">
        <v>769</v>
      </c>
      <c r="H82" s="44">
        <v>80</v>
      </c>
    </row>
    <row r="83" spans="1:8" x14ac:dyDescent="0.35">
      <c r="A83" s="5">
        <v>42736</v>
      </c>
      <c r="B83" s="1">
        <v>20</v>
      </c>
      <c r="C83" s="1">
        <v>75</v>
      </c>
      <c r="D83" s="2">
        <v>100000</v>
      </c>
      <c r="E83" s="2">
        <v>3311</v>
      </c>
      <c r="F83" s="3" t="s">
        <v>56</v>
      </c>
      <c r="G83" s="3" t="s">
        <v>245</v>
      </c>
      <c r="H83" s="44">
        <v>81</v>
      </c>
    </row>
    <row r="84" spans="1:8" x14ac:dyDescent="0.35">
      <c r="A84" s="5">
        <v>42736</v>
      </c>
      <c r="B84" s="1">
        <v>20</v>
      </c>
      <c r="C84" s="1">
        <v>75</v>
      </c>
      <c r="D84" s="2">
        <v>120000</v>
      </c>
      <c r="E84" s="2">
        <v>3621</v>
      </c>
      <c r="F84" s="3" t="s">
        <v>56</v>
      </c>
      <c r="G84" s="3" t="s">
        <v>4</v>
      </c>
      <c r="H84" s="44">
        <v>82</v>
      </c>
    </row>
    <row r="85" spans="1:8" x14ac:dyDescent="0.35">
      <c r="A85" s="5">
        <v>42736</v>
      </c>
      <c r="B85" s="1">
        <v>20</v>
      </c>
      <c r="C85" s="1">
        <v>75</v>
      </c>
      <c r="D85" s="2">
        <v>127200</v>
      </c>
      <c r="E85" s="2">
        <v>3732</v>
      </c>
      <c r="F85" s="3" t="s">
        <v>56</v>
      </c>
      <c r="G85" s="3" t="s">
        <v>73</v>
      </c>
      <c r="H85" s="44">
        <v>83</v>
      </c>
    </row>
    <row r="86" spans="1:8" x14ac:dyDescent="0.35">
      <c r="A86" s="5">
        <v>42736</v>
      </c>
      <c r="B86" s="1">
        <v>20</v>
      </c>
      <c r="C86" s="1">
        <v>80</v>
      </c>
      <c r="D86" s="2">
        <v>20000</v>
      </c>
      <c r="E86" s="2">
        <v>1297</v>
      </c>
      <c r="F86" s="3" t="s">
        <v>56</v>
      </c>
      <c r="G86" s="3" t="s">
        <v>580</v>
      </c>
      <c r="H86" s="44">
        <v>84</v>
      </c>
    </row>
    <row r="87" spans="1:8" x14ac:dyDescent="0.35">
      <c r="A87" s="5">
        <v>42736</v>
      </c>
      <c r="B87" s="1">
        <v>20</v>
      </c>
      <c r="C87" s="1">
        <v>80</v>
      </c>
      <c r="D87" s="2">
        <v>40000</v>
      </c>
      <c r="E87" s="2">
        <v>1958</v>
      </c>
      <c r="F87" s="3" t="s">
        <v>56</v>
      </c>
      <c r="G87" s="3" t="s">
        <v>691</v>
      </c>
      <c r="H87" s="44">
        <v>85</v>
      </c>
    </row>
    <row r="88" spans="1:8" x14ac:dyDescent="0.35">
      <c r="A88" s="5">
        <v>42736</v>
      </c>
      <c r="B88" s="1">
        <v>20</v>
      </c>
      <c r="C88" s="1">
        <v>80</v>
      </c>
      <c r="D88" s="2">
        <v>60000</v>
      </c>
      <c r="E88" s="2">
        <v>2620</v>
      </c>
      <c r="F88" s="3" t="s">
        <v>56</v>
      </c>
      <c r="G88" s="3" t="s">
        <v>180</v>
      </c>
      <c r="H88" s="44">
        <v>86</v>
      </c>
    </row>
    <row r="89" spans="1:8" x14ac:dyDescent="0.35">
      <c r="A89" s="5">
        <v>42736</v>
      </c>
      <c r="B89" s="1">
        <v>20</v>
      </c>
      <c r="C89" s="1">
        <v>80</v>
      </c>
      <c r="D89" s="2">
        <v>80000</v>
      </c>
      <c r="E89" s="2">
        <v>3001</v>
      </c>
      <c r="F89" s="3" t="s">
        <v>56</v>
      </c>
      <c r="G89" s="3" t="s">
        <v>573</v>
      </c>
      <c r="H89" s="44">
        <v>87</v>
      </c>
    </row>
    <row r="90" spans="1:8" x14ac:dyDescent="0.35">
      <c r="A90" s="5">
        <v>42736</v>
      </c>
      <c r="B90" s="1">
        <v>20</v>
      </c>
      <c r="C90" s="1">
        <v>80</v>
      </c>
      <c r="D90" s="2">
        <v>100000</v>
      </c>
      <c r="E90" s="2">
        <v>3311</v>
      </c>
      <c r="F90" s="3" t="s">
        <v>56</v>
      </c>
      <c r="G90" s="3" t="s">
        <v>192</v>
      </c>
      <c r="H90" s="44">
        <v>88</v>
      </c>
    </row>
    <row r="91" spans="1:8" x14ac:dyDescent="0.35">
      <c r="A91" s="5">
        <v>42736</v>
      </c>
      <c r="B91" s="1">
        <v>20</v>
      </c>
      <c r="C91" s="1">
        <v>80</v>
      </c>
      <c r="D91" s="2">
        <v>120000</v>
      </c>
      <c r="E91" s="2">
        <v>3621</v>
      </c>
      <c r="F91" s="3" t="s">
        <v>56</v>
      </c>
      <c r="G91" s="3" t="s">
        <v>295</v>
      </c>
      <c r="H91" s="44">
        <v>89</v>
      </c>
    </row>
    <row r="92" spans="1:8" x14ac:dyDescent="0.35">
      <c r="A92" s="5">
        <v>42736</v>
      </c>
      <c r="B92" s="1">
        <v>20</v>
      </c>
      <c r="C92" s="1">
        <v>80</v>
      </c>
      <c r="D92" s="2">
        <v>127200</v>
      </c>
      <c r="E92" s="2">
        <v>3732</v>
      </c>
      <c r="F92" s="3" t="s">
        <v>56</v>
      </c>
      <c r="G92" s="3" t="s">
        <v>525</v>
      </c>
      <c r="H92" s="44">
        <v>90</v>
      </c>
    </row>
    <row r="93" spans="1:8" x14ac:dyDescent="0.35">
      <c r="A93" s="5">
        <v>42736</v>
      </c>
      <c r="B93" s="1">
        <v>20</v>
      </c>
      <c r="C93" s="1">
        <v>85</v>
      </c>
      <c r="D93" s="2">
        <v>20000</v>
      </c>
      <c r="E93" s="2">
        <v>1297</v>
      </c>
      <c r="F93" s="3" t="s">
        <v>56</v>
      </c>
      <c r="G93" s="3" t="s">
        <v>232</v>
      </c>
      <c r="H93" s="44">
        <v>91</v>
      </c>
    </row>
    <row r="94" spans="1:8" x14ac:dyDescent="0.35">
      <c r="A94" s="5">
        <v>42736</v>
      </c>
      <c r="B94" s="1">
        <v>20</v>
      </c>
      <c r="C94" s="1">
        <v>85</v>
      </c>
      <c r="D94" s="2">
        <v>40000</v>
      </c>
      <c r="E94" s="2">
        <v>1958</v>
      </c>
      <c r="F94" s="3" t="s">
        <v>56</v>
      </c>
      <c r="G94" s="3" t="s">
        <v>348</v>
      </c>
      <c r="H94" s="44">
        <v>92</v>
      </c>
    </row>
    <row r="95" spans="1:8" x14ac:dyDescent="0.35">
      <c r="A95" s="5">
        <v>42736</v>
      </c>
      <c r="B95" s="1">
        <v>20</v>
      </c>
      <c r="C95" s="1">
        <v>85</v>
      </c>
      <c r="D95" s="2">
        <v>60000</v>
      </c>
      <c r="E95" s="2">
        <v>2620</v>
      </c>
      <c r="F95" s="3" t="s">
        <v>56</v>
      </c>
      <c r="G95" s="3" t="s">
        <v>489</v>
      </c>
      <c r="H95" s="44">
        <v>93</v>
      </c>
    </row>
    <row r="96" spans="1:8" x14ac:dyDescent="0.35">
      <c r="A96" s="5">
        <v>42736</v>
      </c>
      <c r="B96" s="1">
        <v>20</v>
      </c>
      <c r="C96" s="1">
        <v>85</v>
      </c>
      <c r="D96" s="2">
        <v>80000</v>
      </c>
      <c r="E96" s="2">
        <v>3001</v>
      </c>
      <c r="F96" s="3" t="s">
        <v>56</v>
      </c>
      <c r="G96" s="3" t="s">
        <v>203</v>
      </c>
      <c r="H96" s="44">
        <v>94</v>
      </c>
    </row>
    <row r="97" spans="1:8" x14ac:dyDescent="0.35">
      <c r="A97" s="5">
        <v>42736</v>
      </c>
      <c r="B97" s="1">
        <v>20</v>
      </c>
      <c r="C97" s="1">
        <v>85</v>
      </c>
      <c r="D97" s="2">
        <v>100000</v>
      </c>
      <c r="E97" s="2">
        <v>3311</v>
      </c>
      <c r="F97" s="3" t="s">
        <v>56</v>
      </c>
      <c r="G97" s="3" t="s">
        <v>718</v>
      </c>
      <c r="H97" s="44">
        <v>95</v>
      </c>
    </row>
    <row r="98" spans="1:8" x14ac:dyDescent="0.35">
      <c r="A98" s="5">
        <v>42736</v>
      </c>
      <c r="B98" s="1">
        <v>20</v>
      </c>
      <c r="C98" s="1">
        <v>85</v>
      </c>
      <c r="D98" s="2">
        <v>120000</v>
      </c>
      <c r="E98" s="2">
        <v>3621</v>
      </c>
      <c r="F98" s="3" t="s">
        <v>56</v>
      </c>
      <c r="G98" s="3" t="s">
        <v>737</v>
      </c>
      <c r="H98" s="44">
        <v>96</v>
      </c>
    </row>
    <row r="99" spans="1:8" x14ac:dyDescent="0.35">
      <c r="A99" s="5">
        <v>42736</v>
      </c>
      <c r="B99" s="1">
        <v>20</v>
      </c>
      <c r="C99" s="1">
        <v>85</v>
      </c>
      <c r="D99" s="2">
        <v>127200</v>
      </c>
      <c r="E99" s="2">
        <v>3732</v>
      </c>
      <c r="F99" s="3" t="s">
        <v>56</v>
      </c>
      <c r="G99" s="3" t="s">
        <v>784</v>
      </c>
      <c r="H99" s="44">
        <v>97</v>
      </c>
    </row>
    <row r="100" spans="1:8" x14ac:dyDescent="0.35">
      <c r="A100" s="5">
        <v>42736</v>
      </c>
      <c r="B100" s="1">
        <v>22</v>
      </c>
      <c r="C100" s="1">
        <v>62</v>
      </c>
      <c r="D100" s="2">
        <v>20000</v>
      </c>
      <c r="E100" s="2">
        <v>736</v>
      </c>
      <c r="F100" s="3" t="s">
        <v>56</v>
      </c>
      <c r="G100" s="3" t="s">
        <v>294</v>
      </c>
      <c r="H100" s="44">
        <v>98</v>
      </c>
    </row>
    <row r="101" spans="1:8" x14ac:dyDescent="0.35">
      <c r="A101" s="5">
        <v>42736</v>
      </c>
      <c r="B101" s="1">
        <v>22</v>
      </c>
      <c r="C101" s="1">
        <v>62</v>
      </c>
      <c r="D101" s="2">
        <v>40000</v>
      </c>
      <c r="E101" s="2">
        <v>1119</v>
      </c>
      <c r="F101" s="3" t="s">
        <v>56</v>
      </c>
      <c r="G101" s="3" t="s">
        <v>608</v>
      </c>
      <c r="H101" s="44">
        <v>99</v>
      </c>
    </row>
    <row r="102" spans="1:8" x14ac:dyDescent="0.35">
      <c r="A102" s="5">
        <v>42736</v>
      </c>
      <c r="B102" s="1">
        <v>22</v>
      </c>
      <c r="C102" s="1">
        <v>62</v>
      </c>
      <c r="D102" s="2">
        <v>60000</v>
      </c>
      <c r="E102" s="2">
        <v>1496</v>
      </c>
      <c r="F102" s="3" t="s">
        <v>56</v>
      </c>
      <c r="G102" s="3" t="s">
        <v>370</v>
      </c>
      <c r="H102" s="44">
        <v>100</v>
      </c>
    </row>
    <row r="103" spans="1:8" x14ac:dyDescent="0.35">
      <c r="A103" s="5">
        <v>42736</v>
      </c>
      <c r="B103" s="1">
        <v>22</v>
      </c>
      <c r="C103" s="1">
        <v>62</v>
      </c>
      <c r="D103" s="2">
        <v>80000</v>
      </c>
      <c r="E103" s="2">
        <v>1714</v>
      </c>
      <c r="F103" s="3" t="s">
        <v>56</v>
      </c>
      <c r="G103" s="3" t="s">
        <v>430</v>
      </c>
      <c r="H103" s="44">
        <v>101</v>
      </c>
    </row>
    <row r="104" spans="1:8" x14ac:dyDescent="0.35">
      <c r="A104" s="5">
        <v>42736</v>
      </c>
      <c r="B104" s="1">
        <v>22</v>
      </c>
      <c r="C104" s="1">
        <v>62</v>
      </c>
      <c r="D104" s="2">
        <v>100000</v>
      </c>
      <c r="E104" s="2">
        <v>1891</v>
      </c>
      <c r="F104" s="3" t="s">
        <v>56</v>
      </c>
      <c r="G104" s="3" t="s">
        <v>92</v>
      </c>
      <c r="H104" s="44">
        <v>102</v>
      </c>
    </row>
    <row r="105" spans="1:8" x14ac:dyDescent="0.35">
      <c r="A105" s="5">
        <v>42736</v>
      </c>
      <c r="B105" s="1">
        <v>22</v>
      </c>
      <c r="C105" s="1">
        <v>62</v>
      </c>
      <c r="D105" s="2">
        <v>120000</v>
      </c>
      <c r="E105" s="2">
        <v>2068</v>
      </c>
      <c r="F105" s="3" t="s">
        <v>56</v>
      </c>
      <c r="G105" s="3" t="s">
        <v>436</v>
      </c>
      <c r="H105" s="44">
        <v>103</v>
      </c>
    </row>
    <row r="106" spans="1:8" x14ac:dyDescent="0.35">
      <c r="A106" s="5">
        <v>42736</v>
      </c>
      <c r="B106" s="1">
        <v>22</v>
      </c>
      <c r="C106" s="1">
        <v>62</v>
      </c>
      <c r="D106" s="2">
        <v>127200</v>
      </c>
      <c r="E106" s="2">
        <v>2132</v>
      </c>
      <c r="F106" s="3" t="s">
        <v>56</v>
      </c>
      <c r="G106" s="3" t="s">
        <v>407</v>
      </c>
      <c r="H106" s="44">
        <v>104</v>
      </c>
    </row>
    <row r="107" spans="1:8" x14ac:dyDescent="0.35">
      <c r="A107" s="5">
        <v>42736</v>
      </c>
      <c r="B107" s="1">
        <v>22</v>
      </c>
      <c r="C107" s="1">
        <v>65</v>
      </c>
      <c r="D107" s="2">
        <v>20000</v>
      </c>
      <c r="E107" s="2">
        <v>912</v>
      </c>
      <c r="F107" s="3" t="s">
        <v>56</v>
      </c>
      <c r="G107" s="3" t="s">
        <v>238</v>
      </c>
      <c r="H107" s="44">
        <v>105</v>
      </c>
    </row>
    <row r="108" spans="1:8" x14ac:dyDescent="0.35">
      <c r="A108" s="5">
        <v>42736</v>
      </c>
      <c r="B108" s="1">
        <v>22</v>
      </c>
      <c r="C108" s="1">
        <v>65</v>
      </c>
      <c r="D108" s="2">
        <v>40000</v>
      </c>
      <c r="E108" s="2">
        <v>1386</v>
      </c>
      <c r="F108" s="3" t="s">
        <v>56</v>
      </c>
      <c r="G108" s="3" t="s">
        <v>703</v>
      </c>
      <c r="H108" s="44">
        <v>106</v>
      </c>
    </row>
    <row r="109" spans="1:8" x14ac:dyDescent="0.35">
      <c r="A109" s="5">
        <v>42736</v>
      </c>
      <c r="B109" s="1">
        <v>22</v>
      </c>
      <c r="C109" s="1">
        <v>65</v>
      </c>
      <c r="D109" s="2">
        <v>60000</v>
      </c>
      <c r="E109" s="2">
        <v>1855</v>
      </c>
      <c r="F109" s="3" t="s">
        <v>56</v>
      </c>
      <c r="G109" s="3" t="s">
        <v>750</v>
      </c>
      <c r="H109" s="44">
        <v>107</v>
      </c>
    </row>
    <row r="110" spans="1:8" x14ac:dyDescent="0.35">
      <c r="A110" s="5">
        <v>42736</v>
      </c>
      <c r="B110" s="1">
        <v>22</v>
      </c>
      <c r="C110" s="1">
        <v>65</v>
      </c>
      <c r="D110" s="2">
        <v>80000</v>
      </c>
      <c r="E110" s="2">
        <v>2124</v>
      </c>
      <c r="F110" s="3" t="s">
        <v>56</v>
      </c>
      <c r="G110" s="3" t="s">
        <v>290</v>
      </c>
      <c r="H110" s="44">
        <v>108</v>
      </c>
    </row>
    <row r="111" spans="1:8" x14ac:dyDescent="0.35">
      <c r="A111" s="5">
        <v>42736</v>
      </c>
      <c r="B111" s="1">
        <v>22</v>
      </c>
      <c r="C111" s="1">
        <v>65</v>
      </c>
      <c r="D111" s="2">
        <v>100000</v>
      </c>
      <c r="E111" s="2">
        <v>2343</v>
      </c>
      <c r="F111" s="3" t="s">
        <v>56</v>
      </c>
      <c r="G111" s="3" t="s">
        <v>168</v>
      </c>
      <c r="H111" s="44">
        <v>109</v>
      </c>
    </row>
    <row r="112" spans="1:8" x14ac:dyDescent="0.35">
      <c r="A112" s="5">
        <v>42736</v>
      </c>
      <c r="B112" s="1">
        <v>22</v>
      </c>
      <c r="C112" s="1">
        <v>65</v>
      </c>
      <c r="D112" s="2">
        <v>120000</v>
      </c>
      <c r="E112" s="2">
        <v>2563</v>
      </c>
      <c r="F112" s="3" t="s">
        <v>56</v>
      </c>
      <c r="G112" s="3" t="s">
        <v>570</v>
      </c>
      <c r="H112" s="44">
        <v>110</v>
      </c>
    </row>
    <row r="113" spans="1:8" x14ac:dyDescent="0.35">
      <c r="A113" s="5">
        <v>42736</v>
      </c>
      <c r="B113" s="1">
        <v>22</v>
      </c>
      <c r="C113" s="1">
        <v>65</v>
      </c>
      <c r="D113" s="2">
        <v>127200</v>
      </c>
      <c r="E113" s="2">
        <v>2642</v>
      </c>
      <c r="F113" s="3" t="s">
        <v>56</v>
      </c>
      <c r="G113" s="3" t="s">
        <v>644</v>
      </c>
      <c r="H113" s="44">
        <v>111</v>
      </c>
    </row>
    <row r="114" spans="1:8" x14ac:dyDescent="0.35">
      <c r="A114" s="5">
        <v>42736</v>
      </c>
      <c r="B114" s="1">
        <v>22</v>
      </c>
      <c r="C114" s="1">
        <v>67</v>
      </c>
      <c r="D114" s="2">
        <v>20000</v>
      </c>
      <c r="E114" s="2">
        <v>1053</v>
      </c>
      <c r="F114" s="3" t="s">
        <v>56</v>
      </c>
      <c r="G114" s="3" t="s">
        <v>491</v>
      </c>
      <c r="H114" s="44">
        <v>112</v>
      </c>
    </row>
    <row r="115" spans="1:8" x14ac:dyDescent="0.35">
      <c r="A115" s="5">
        <v>42736</v>
      </c>
      <c r="B115" s="1">
        <v>22</v>
      </c>
      <c r="C115" s="1">
        <v>67</v>
      </c>
      <c r="D115" s="2">
        <v>40000</v>
      </c>
      <c r="E115" s="2">
        <v>1600</v>
      </c>
      <c r="F115" s="3" t="s">
        <v>56</v>
      </c>
      <c r="G115" s="3" t="s">
        <v>590</v>
      </c>
      <c r="H115" s="44">
        <v>113</v>
      </c>
    </row>
    <row r="116" spans="1:8" x14ac:dyDescent="0.35">
      <c r="A116" s="5">
        <v>42736</v>
      </c>
      <c r="B116" s="1">
        <v>22</v>
      </c>
      <c r="C116" s="1">
        <v>67</v>
      </c>
      <c r="D116" s="2">
        <v>60000</v>
      </c>
      <c r="E116" s="2">
        <v>2141</v>
      </c>
      <c r="F116" s="3" t="s">
        <v>56</v>
      </c>
      <c r="G116" s="3" t="s">
        <v>226</v>
      </c>
      <c r="H116" s="44">
        <v>114</v>
      </c>
    </row>
    <row r="117" spans="1:8" x14ac:dyDescent="0.35">
      <c r="A117" s="5">
        <v>42736</v>
      </c>
      <c r="B117" s="1">
        <v>22</v>
      </c>
      <c r="C117" s="1">
        <v>67</v>
      </c>
      <c r="D117" s="2">
        <v>80000</v>
      </c>
      <c r="E117" s="2">
        <v>2452</v>
      </c>
      <c r="F117" s="3" t="s">
        <v>56</v>
      </c>
      <c r="G117" s="3" t="s">
        <v>306</v>
      </c>
      <c r="H117" s="44">
        <v>115</v>
      </c>
    </row>
    <row r="118" spans="1:8" x14ac:dyDescent="0.35">
      <c r="A118" s="5">
        <v>42736</v>
      </c>
      <c r="B118" s="1">
        <v>22</v>
      </c>
      <c r="C118" s="1">
        <v>67</v>
      </c>
      <c r="D118" s="2">
        <v>100000</v>
      </c>
      <c r="E118" s="2">
        <v>2705</v>
      </c>
      <c r="F118" s="3" t="s">
        <v>56</v>
      </c>
      <c r="G118" s="3" t="s">
        <v>297</v>
      </c>
      <c r="H118" s="44">
        <v>116</v>
      </c>
    </row>
    <row r="119" spans="1:8" x14ac:dyDescent="0.35">
      <c r="A119" s="5">
        <v>42736</v>
      </c>
      <c r="B119" s="1">
        <v>22</v>
      </c>
      <c r="C119" s="1">
        <v>67</v>
      </c>
      <c r="D119" s="2">
        <v>120000</v>
      </c>
      <c r="E119" s="2">
        <v>2959</v>
      </c>
      <c r="F119" s="3" t="s">
        <v>56</v>
      </c>
      <c r="G119" s="3" t="s">
        <v>413</v>
      </c>
      <c r="H119" s="44">
        <v>117</v>
      </c>
    </row>
    <row r="120" spans="1:8" x14ac:dyDescent="0.35">
      <c r="A120" s="5">
        <v>42736</v>
      </c>
      <c r="B120" s="1">
        <v>22</v>
      </c>
      <c r="C120" s="1">
        <v>67</v>
      </c>
      <c r="D120" s="2">
        <v>127200</v>
      </c>
      <c r="E120" s="2">
        <v>3050</v>
      </c>
      <c r="F120" s="3" t="s">
        <v>56</v>
      </c>
      <c r="G120" s="3" t="s">
        <v>42</v>
      </c>
      <c r="H120" s="44">
        <v>118</v>
      </c>
    </row>
    <row r="121" spans="1:8" x14ac:dyDescent="0.35">
      <c r="A121" s="5">
        <v>42736</v>
      </c>
      <c r="B121" s="1">
        <v>22</v>
      </c>
      <c r="C121" s="1">
        <v>70</v>
      </c>
      <c r="D121" s="2">
        <v>20000</v>
      </c>
      <c r="E121" s="2">
        <v>1297</v>
      </c>
      <c r="F121" s="3" t="s">
        <v>56</v>
      </c>
      <c r="G121" s="3" t="s">
        <v>490</v>
      </c>
      <c r="H121" s="44">
        <v>119</v>
      </c>
    </row>
    <row r="122" spans="1:8" x14ac:dyDescent="0.35">
      <c r="A122" s="5">
        <v>42736</v>
      </c>
      <c r="B122" s="1">
        <v>22</v>
      </c>
      <c r="C122" s="1">
        <v>70</v>
      </c>
      <c r="D122" s="2">
        <v>40000</v>
      </c>
      <c r="E122" s="2">
        <v>1958</v>
      </c>
      <c r="F122" s="3" t="s">
        <v>56</v>
      </c>
      <c r="G122" s="3" t="s">
        <v>511</v>
      </c>
      <c r="H122" s="44">
        <v>120</v>
      </c>
    </row>
    <row r="123" spans="1:8" x14ac:dyDescent="0.35">
      <c r="A123" s="5">
        <v>42736</v>
      </c>
      <c r="B123" s="1">
        <v>22</v>
      </c>
      <c r="C123" s="1">
        <v>70</v>
      </c>
      <c r="D123" s="2">
        <v>60000</v>
      </c>
      <c r="E123" s="2">
        <v>2620</v>
      </c>
      <c r="F123" s="3" t="s">
        <v>56</v>
      </c>
      <c r="G123" s="3" t="s">
        <v>464</v>
      </c>
      <c r="H123" s="44">
        <v>121</v>
      </c>
    </row>
    <row r="124" spans="1:8" x14ac:dyDescent="0.35">
      <c r="A124" s="5">
        <v>42736</v>
      </c>
      <c r="B124" s="1">
        <v>22</v>
      </c>
      <c r="C124" s="1">
        <v>70</v>
      </c>
      <c r="D124" s="2">
        <v>80000</v>
      </c>
      <c r="E124" s="2">
        <v>3001</v>
      </c>
      <c r="F124" s="3" t="s">
        <v>56</v>
      </c>
      <c r="G124" s="3" t="s">
        <v>355</v>
      </c>
      <c r="H124" s="44">
        <v>122</v>
      </c>
    </row>
    <row r="125" spans="1:8" x14ac:dyDescent="0.35">
      <c r="A125" s="5">
        <v>42736</v>
      </c>
      <c r="B125" s="1">
        <v>22</v>
      </c>
      <c r="C125" s="1">
        <v>70</v>
      </c>
      <c r="D125" s="2">
        <v>100000</v>
      </c>
      <c r="E125" s="2">
        <v>3311</v>
      </c>
      <c r="F125" s="3" t="s">
        <v>56</v>
      </c>
      <c r="G125" s="3" t="s">
        <v>244</v>
      </c>
      <c r="H125" s="44">
        <v>123</v>
      </c>
    </row>
    <row r="126" spans="1:8" x14ac:dyDescent="0.35">
      <c r="A126" s="5">
        <v>42736</v>
      </c>
      <c r="B126" s="1">
        <v>22</v>
      </c>
      <c r="C126" s="1">
        <v>70</v>
      </c>
      <c r="D126" s="2">
        <v>120000</v>
      </c>
      <c r="E126" s="2">
        <v>3621</v>
      </c>
      <c r="F126" s="3" t="s">
        <v>56</v>
      </c>
      <c r="G126" s="3" t="s">
        <v>746</v>
      </c>
      <c r="H126" s="44">
        <v>124</v>
      </c>
    </row>
    <row r="127" spans="1:8" x14ac:dyDescent="0.35">
      <c r="A127" s="5">
        <v>42736</v>
      </c>
      <c r="B127" s="1">
        <v>22</v>
      </c>
      <c r="C127" s="1">
        <v>70</v>
      </c>
      <c r="D127" s="2">
        <v>127200</v>
      </c>
      <c r="E127" s="2">
        <v>3732</v>
      </c>
      <c r="F127" s="3" t="s">
        <v>56</v>
      </c>
      <c r="G127" s="3" t="s">
        <v>496</v>
      </c>
      <c r="H127" s="44">
        <v>125</v>
      </c>
    </row>
    <row r="128" spans="1:8" x14ac:dyDescent="0.35">
      <c r="A128" s="5">
        <v>42736</v>
      </c>
      <c r="B128" s="1">
        <v>22</v>
      </c>
      <c r="C128" s="1">
        <v>75</v>
      </c>
      <c r="D128" s="2">
        <v>20000</v>
      </c>
      <c r="E128" s="2">
        <v>1297</v>
      </c>
      <c r="F128" s="3" t="s">
        <v>56</v>
      </c>
      <c r="G128" s="3" t="s">
        <v>418</v>
      </c>
      <c r="H128" s="44">
        <v>126</v>
      </c>
    </row>
    <row r="129" spans="1:8" x14ac:dyDescent="0.35">
      <c r="A129" s="5">
        <v>42736</v>
      </c>
      <c r="B129" s="1">
        <v>22</v>
      </c>
      <c r="C129" s="1">
        <v>75</v>
      </c>
      <c r="D129" s="2">
        <v>40000</v>
      </c>
      <c r="E129" s="2">
        <v>1958</v>
      </c>
      <c r="F129" s="3" t="s">
        <v>56</v>
      </c>
      <c r="G129" s="3" t="s">
        <v>329</v>
      </c>
      <c r="H129" s="44">
        <v>127</v>
      </c>
    </row>
    <row r="130" spans="1:8" x14ac:dyDescent="0.35">
      <c r="A130" s="5">
        <v>42736</v>
      </c>
      <c r="B130" s="1">
        <v>22</v>
      </c>
      <c r="C130" s="1">
        <v>75</v>
      </c>
      <c r="D130" s="2">
        <v>60000</v>
      </c>
      <c r="E130" s="2">
        <v>2620</v>
      </c>
      <c r="F130" s="3" t="s">
        <v>56</v>
      </c>
      <c r="G130" s="3" t="s">
        <v>383</v>
      </c>
      <c r="H130" s="44">
        <v>128</v>
      </c>
    </row>
    <row r="131" spans="1:8" x14ac:dyDescent="0.35">
      <c r="A131" s="5">
        <v>42736</v>
      </c>
      <c r="B131" s="1">
        <v>22</v>
      </c>
      <c r="C131" s="1">
        <v>75</v>
      </c>
      <c r="D131" s="2">
        <v>80000</v>
      </c>
      <c r="E131" s="2">
        <v>3001</v>
      </c>
      <c r="F131" s="3" t="s">
        <v>56</v>
      </c>
      <c r="G131" s="3" t="s">
        <v>535</v>
      </c>
      <c r="H131" s="44">
        <v>129</v>
      </c>
    </row>
    <row r="132" spans="1:8" x14ac:dyDescent="0.35">
      <c r="A132" s="5">
        <v>42736</v>
      </c>
      <c r="B132" s="1">
        <v>22</v>
      </c>
      <c r="C132" s="1">
        <v>75</v>
      </c>
      <c r="D132" s="2">
        <v>100000</v>
      </c>
      <c r="E132" s="2">
        <v>3311</v>
      </c>
      <c r="F132" s="3" t="s">
        <v>56</v>
      </c>
      <c r="G132" s="3" t="s">
        <v>95</v>
      </c>
      <c r="H132" s="44">
        <v>130</v>
      </c>
    </row>
    <row r="133" spans="1:8" x14ac:dyDescent="0.35">
      <c r="A133" s="5">
        <v>42736</v>
      </c>
      <c r="B133" s="1">
        <v>22</v>
      </c>
      <c r="C133" s="1">
        <v>75</v>
      </c>
      <c r="D133" s="2">
        <v>120000</v>
      </c>
      <c r="E133" s="2">
        <v>3621</v>
      </c>
      <c r="F133" s="3" t="s">
        <v>56</v>
      </c>
      <c r="G133" s="3" t="s">
        <v>528</v>
      </c>
      <c r="H133" s="44">
        <v>131</v>
      </c>
    </row>
    <row r="134" spans="1:8" x14ac:dyDescent="0.35">
      <c r="A134" s="5">
        <v>42736</v>
      </c>
      <c r="B134" s="1">
        <v>22</v>
      </c>
      <c r="C134" s="1">
        <v>75</v>
      </c>
      <c r="D134" s="2">
        <v>127200</v>
      </c>
      <c r="E134" s="2">
        <v>3732</v>
      </c>
      <c r="F134" s="3" t="s">
        <v>56</v>
      </c>
      <c r="G134" s="3" t="s">
        <v>734</v>
      </c>
      <c r="H134" s="44">
        <v>132</v>
      </c>
    </row>
    <row r="135" spans="1:8" x14ac:dyDescent="0.35">
      <c r="A135" s="5">
        <v>42736</v>
      </c>
      <c r="B135" s="1">
        <v>22</v>
      </c>
      <c r="C135" s="1">
        <v>80</v>
      </c>
      <c r="D135" s="2">
        <v>20000</v>
      </c>
      <c r="E135" s="2">
        <v>1297</v>
      </c>
      <c r="F135" s="3" t="s">
        <v>56</v>
      </c>
      <c r="G135" s="3" t="s">
        <v>382</v>
      </c>
      <c r="H135" s="44">
        <v>133</v>
      </c>
    </row>
    <row r="136" spans="1:8" x14ac:dyDescent="0.35">
      <c r="A136" s="5">
        <v>42736</v>
      </c>
      <c r="B136" s="1">
        <v>22</v>
      </c>
      <c r="C136" s="1">
        <v>80</v>
      </c>
      <c r="D136" s="2">
        <v>40000</v>
      </c>
      <c r="E136" s="2">
        <v>1958</v>
      </c>
      <c r="F136" s="3" t="s">
        <v>56</v>
      </c>
      <c r="G136" s="3" t="s">
        <v>237</v>
      </c>
      <c r="H136" s="44">
        <v>134</v>
      </c>
    </row>
    <row r="137" spans="1:8" x14ac:dyDescent="0.35">
      <c r="A137" s="5">
        <v>42736</v>
      </c>
      <c r="B137" s="1">
        <v>22</v>
      </c>
      <c r="C137" s="1">
        <v>80</v>
      </c>
      <c r="D137" s="2">
        <v>60000</v>
      </c>
      <c r="E137" s="2">
        <v>2620</v>
      </c>
      <c r="F137" s="3" t="s">
        <v>56</v>
      </c>
      <c r="G137" s="3" t="s">
        <v>303</v>
      </c>
      <c r="H137" s="44">
        <v>135</v>
      </c>
    </row>
    <row r="138" spans="1:8" x14ac:dyDescent="0.35">
      <c r="A138" s="5">
        <v>42736</v>
      </c>
      <c r="B138" s="1">
        <v>22</v>
      </c>
      <c r="C138" s="1">
        <v>80</v>
      </c>
      <c r="D138" s="2">
        <v>80000</v>
      </c>
      <c r="E138" s="2">
        <v>3001</v>
      </c>
      <c r="F138" s="3" t="s">
        <v>56</v>
      </c>
      <c r="G138" s="3" t="s">
        <v>412</v>
      </c>
      <c r="H138" s="44">
        <v>136</v>
      </c>
    </row>
    <row r="139" spans="1:8" x14ac:dyDescent="0.35">
      <c r="A139" s="5">
        <v>42736</v>
      </c>
      <c r="B139" s="1">
        <v>22</v>
      </c>
      <c r="C139" s="1">
        <v>80</v>
      </c>
      <c r="D139" s="2">
        <v>100000</v>
      </c>
      <c r="E139" s="2">
        <v>3311</v>
      </c>
      <c r="F139" s="3" t="s">
        <v>56</v>
      </c>
      <c r="G139" s="3" t="s">
        <v>62</v>
      </c>
      <c r="H139" s="44">
        <v>137</v>
      </c>
    </row>
    <row r="140" spans="1:8" x14ac:dyDescent="0.35">
      <c r="A140" s="5">
        <v>42736</v>
      </c>
      <c r="B140" s="1">
        <v>22</v>
      </c>
      <c r="C140" s="1">
        <v>80</v>
      </c>
      <c r="D140" s="2">
        <v>120000</v>
      </c>
      <c r="E140" s="2">
        <v>3621</v>
      </c>
      <c r="F140" s="3" t="s">
        <v>56</v>
      </c>
      <c r="G140" s="3" t="s">
        <v>399</v>
      </c>
      <c r="H140" s="44">
        <v>138</v>
      </c>
    </row>
    <row r="141" spans="1:8" x14ac:dyDescent="0.35">
      <c r="A141" s="5">
        <v>42736</v>
      </c>
      <c r="B141" s="1">
        <v>22</v>
      </c>
      <c r="C141" s="1">
        <v>80</v>
      </c>
      <c r="D141" s="2">
        <v>127200</v>
      </c>
      <c r="E141" s="2">
        <v>3732</v>
      </c>
      <c r="F141" s="3" t="s">
        <v>56</v>
      </c>
      <c r="G141" s="3" t="s">
        <v>503</v>
      </c>
      <c r="H141" s="44">
        <v>139</v>
      </c>
    </row>
    <row r="142" spans="1:8" x14ac:dyDescent="0.35">
      <c r="A142" s="5">
        <v>42736</v>
      </c>
      <c r="B142" s="1">
        <v>22</v>
      </c>
      <c r="C142" s="1">
        <v>85</v>
      </c>
      <c r="D142" s="2">
        <v>20000</v>
      </c>
      <c r="E142" s="2">
        <v>1297</v>
      </c>
      <c r="F142" s="3" t="s">
        <v>56</v>
      </c>
      <c r="G142" s="3" t="s">
        <v>83</v>
      </c>
      <c r="H142" s="44">
        <v>140</v>
      </c>
    </row>
    <row r="143" spans="1:8" x14ac:dyDescent="0.35">
      <c r="A143" s="5">
        <v>42736</v>
      </c>
      <c r="B143" s="1">
        <v>22</v>
      </c>
      <c r="C143" s="1">
        <v>85</v>
      </c>
      <c r="D143" s="2">
        <v>40000</v>
      </c>
      <c r="E143" s="2">
        <v>1958</v>
      </c>
      <c r="F143" s="3" t="s">
        <v>56</v>
      </c>
      <c r="G143" s="3" t="s">
        <v>736</v>
      </c>
      <c r="H143" s="44">
        <v>141</v>
      </c>
    </row>
    <row r="144" spans="1:8" x14ac:dyDescent="0.35">
      <c r="A144" s="5">
        <v>42736</v>
      </c>
      <c r="B144" s="1">
        <v>22</v>
      </c>
      <c r="C144" s="1">
        <v>85</v>
      </c>
      <c r="D144" s="2">
        <v>60000</v>
      </c>
      <c r="E144" s="2">
        <v>2620</v>
      </c>
      <c r="F144" s="3" t="s">
        <v>56</v>
      </c>
      <c r="G144" s="3" t="s">
        <v>308</v>
      </c>
      <c r="H144" s="44">
        <v>142</v>
      </c>
    </row>
    <row r="145" spans="1:8" x14ac:dyDescent="0.35">
      <c r="A145" s="5">
        <v>42736</v>
      </c>
      <c r="B145" s="1">
        <v>22</v>
      </c>
      <c r="C145" s="1">
        <v>85</v>
      </c>
      <c r="D145" s="2">
        <v>80000</v>
      </c>
      <c r="E145" s="2">
        <v>3001</v>
      </c>
      <c r="F145" s="3" t="s">
        <v>56</v>
      </c>
      <c r="G145" s="3" t="s">
        <v>142</v>
      </c>
      <c r="H145" s="44">
        <v>143</v>
      </c>
    </row>
    <row r="146" spans="1:8" x14ac:dyDescent="0.35">
      <c r="A146" s="5">
        <v>42736</v>
      </c>
      <c r="B146" s="1">
        <v>22</v>
      </c>
      <c r="C146" s="1">
        <v>85</v>
      </c>
      <c r="D146" s="2">
        <v>100000</v>
      </c>
      <c r="E146" s="2">
        <v>3311</v>
      </c>
      <c r="F146" s="3" t="s">
        <v>56</v>
      </c>
      <c r="G146" s="3" t="s">
        <v>655</v>
      </c>
      <c r="H146" s="44">
        <v>144</v>
      </c>
    </row>
    <row r="147" spans="1:8" x14ac:dyDescent="0.35">
      <c r="A147" s="5">
        <v>42736</v>
      </c>
      <c r="B147" s="1">
        <v>22</v>
      </c>
      <c r="C147" s="1">
        <v>85</v>
      </c>
      <c r="D147" s="2">
        <v>120000</v>
      </c>
      <c r="E147" s="2">
        <v>3621</v>
      </c>
      <c r="F147" s="3" t="s">
        <v>56</v>
      </c>
      <c r="G147" s="3" t="s">
        <v>774</v>
      </c>
      <c r="H147" s="44">
        <v>145</v>
      </c>
    </row>
    <row r="148" spans="1:8" x14ac:dyDescent="0.35">
      <c r="A148" s="5">
        <v>42736</v>
      </c>
      <c r="B148" s="1">
        <v>22</v>
      </c>
      <c r="C148" s="1">
        <v>85</v>
      </c>
      <c r="D148" s="2">
        <v>127200</v>
      </c>
      <c r="E148" s="2">
        <v>3732</v>
      </c>
      <c r="F148" s="3" t="s">
        <v>56</v>
      </c>
      <c r="G148" s="3" t="s">
        <v>243</v>
      </c>
      <c r="H148" s="44">
        <v>146</v>
      </c>
    </row>
    <row r="149" spans="1:8" x14ac:dyDescent="0.35">
      <c r="A149" s="5">
        <v>42736</v>
      </c>
      <c r="B149" s="1">
        <v>25</v>
      </c>
      <c r="C149" s="1">
        <v>62</v>
      </c>
      <c r="D149" s="2">
        <v>20000</v>
      </c>
      <c r="E149" s="2">
        <v>736</v>
      </c>
      <c r="F149" s="3" t="s">
        <v>56</v>
      </c>
      <c r="G149" s="3" t="s">
        <v>179</v>
      </c>
      <c r="H149" s="44">
        <v>147</v>
      </c>
    </row>
    <row r="150" spans="1:8" x14ac:dyDescent="0.35">
      <c r="A150" s="5">
        <v>42736</v>
      </c>
      <c r="B150" s="1">
        <v>25</v>
      </c>
      <c r="C150" s="1">
        <v>62</v>
      </c>
      <c r="D150" s="2">
        <v>40000</v>
      </c>
      <c r="E150" s="2">
        <v>1119</v>
      </c>
      <c r="F150" s="3" t="s">
        <v>56</v>
      </c>
      <c r="G150" s="3" t="s">
        <v>664</v>
      </c>
      <c r="H150" s="44">
        <v>148</v>
      </c>
    </row>
    <row r="151" spans="1:8" x14ac:dyDescent="0.35">
      <c r="A151" s="5">
        <v>42736</v>
      </c>
      <c r="B151" s="1">
        <v>25</v>
      </c>
      <c r="C151" s="1">
        <v>62</v>
      </c>
      <c r="D151" s="2">
        <v>60000</v>
      </c>
      <c r="E151" s="2">
        <v>1496</v>
      </c>
      <c r="F151" s="3" t="s">
        <v>56</v>
      </c>
      <c r="G151" s="3" t="s">
        <v>14</v>
      </c>
      <c r="H151" s="44">
        <v>149</v>
      </c>
    </row>
    <row r="152" spans="1:8" x14ac:dyDescent="0.35">
      <c r="A152" s="5">
        <v>42736</v>
      </c>
      <c r="B152" s="1">
        <v>25</v>
      </c>
      <c r="C152" s="1">
        <v>62</v>
      </c>
      <c r="D152" s="2">
        <v>80000</v>
      </c>
      <c r="E152" s="2">
        <v>1714</v>
      </c>
      <c r="F152" s="3" t="s">
        <v>56</v>
      </c>
      <c r="G152" s="3" t="s">
        <v>651</v>
      </c>
      <c r="H152" s="44">
        <v>150</v>
      </c>
    </row>
    <row r="153" spans="1:8" x14ac:dyDescent="0.35">
      <c r="A153" s="5">
        <v>42736</v>
      </c>
      <c r="B153" s="1">
        <v>25</v>
      </c>
      <c r="C153" s="1">
        <v>62</v>
      </c>
      <c r="D153" s="2">
        <v>100000</v>
      </c>
      <c r="E153" s="2">
        <v>1891</v>
      </c>
      <c r="F153" s="3" t="s">
        <v>56</v>
      </c>
      <c r="G153" s="3" t="s">
        <v>411</v>
      </c>
      <c r="H153" s="44">
        <v>151</v>
      </c>
    </row>
    <row r="154" spans="1:8" x14ac:dyDescent="0.35">
      <c r="A154" s="5">
        <v>42736</v>
      </c>
      <c r="B154" s="1">
        <v>25</v>
      </c>
      <c r="C154" s="1">
        <v>62</v>
      </c>
      <c r="D154" s="2">
        <v>120000</v>
      </c>
      <c r="E154" s="2">
        <v>2068</v>
      </c>
      <c r="F154" s="3" t="s">
        <v>56</v>
      </c>
      <c r="G154" s="3" t="s">
        <v>38</v>
      </c>
      <c r="H154" s="44">
        <v>152</v>
      </c>
    </row>
    <row r="155" spans="1:8" x14ac:dyDescent="0.35">
      <c r="A155" s="5">
        <v>42736</v>
      </c>
      <c r="B155" s="1">
        <v>25</v>
      </c>
      <c r="C155" s="1">
        <v>62</v>
      </c>
      <c r="D155" s="2">
        <v>127200</v>
      </c>
      <c r="E155" s="2">
        <v>2132</v>
      </c>
      <c r="F155" s="3" t="s">
        <v>56</v>
      </c>
      <c r="G155" s="3" t="s">
        <v>686</v>
      </c>
      <c r="H155" s="44">
        <v>153</v>
      </c>
    </row>
    <row r="156" spans="1:8" x14ac:dyDescent="0.35">
      <c r="A156" s="5">
        <v>42736</v>
      </c>
      <c r="B156" s="1">
        <v>25</v>
      </c>
      <c r="C156" s="1">
        <v>65</v>
      </c>
      <c r="D156" s="2">
        <v>20000</v>
      </c>
      <c r="E156" s="2">
        <v>912</v>
      </c>
      <c r="F156" s="3" t="s">
        <v>56</v>
      </c>
      <c r="G156" s="3" t="s">
        <v>280</v>
      </c>
      <c r="H156" s="44">
        <v>154</v>
      </c>
    </row>
    <row r="157" spans="1:8" x14ac:dyDescent="0.35">
      <c r="A157" s="5">
        <v>42736</v>
      </c>
      <c r="B157" s="1">
        <v>25</v>
      </c>
      <c r="C157" s="1">
        <v>65</v>
      </c>
      <c r="D157" s="2">
        <v>40000</v>
      </c>
      <c r="E157" s="2">
        <v>1386</v>
      </c>
      <c r="F157" s="3" t="s">
        <v>56</v>
      </c>
      <c r="G157" s="3" t="s">
        <v>107</v>
      </c>
      <c r="H157" s="44">
        <v>155</v>
      </c>
    </row>
    <row r="158" spans="1:8" x14ac:dyDescent="0.35">
      <c r="A158" s="5">
        <v>42736</v>
      </c>
      <c r="B158" s="1">
        <v>25</v>
      </c>
      <c r="C158" s="1">
        <v>65</v>
      </c>
      <c r="D158" s="2">
        <v>60000</v>
      </c>
      <c r="E158" s="2">
        <v>1855</v>
      </c>
      <c r="F158" s="3" t="s">
        <v>56</v>
      </c>
      <c r="G158" s="3" t="s">
        <v>98</v>
      </c>
      <c r="H158" s="44">
        <v>156</v>
      </c>
    </row>
    <row r="159" spans="1:8" x14ac:dyDescent="0.35">
      <c r="A159" s="5">
        <v>42736</v>
      </c>
      <c r="B159" s="1">
        <v>25</v>
      </c>
      <c r="C159" s="1">
        <v>65</v>
      </c>
      <c r="D159" s="2">
        <v>80000</v>
      </c>
      <c r="E159" s="2">
        <v>2124</v>
      </c>
      <c r="F159" s="3" t="s">
        <v>56</v>
      </c>
      <c r="G159" s="3" t="s">
        <v>310</v>
      </c>
      <c r="H159" s="44">
        <v>157</v>
      </c>
    </row>
    <row r="160" spans="1:8" x14ac:dyDescent="0.35">
      <c r="A160" s="5">
        <v>42736</v>
      </c>
      <c r="B160" s="1">
        <v>25</v>
      </c>
      <c r="C160" s="1">
        <v>65</v>
      </c>
      <c r="D160" s="2">
        <v>100000</v>
      </c>
      <c r="E160" s="2">
        <v>2343</v>
      </c>
      <c r="F160" s="3" t="s">
        <v>56</v>
      </c>
      <c r="G160" s="3" t="s">
        <v>328</v>
      </c>
      <c r="H160" s="44">
        <v>158</v>
      </c>
    </row>
    <row r="161" spans="1:8" x14ac:dyDescent="0.35">
      <c r="A161" s="5">
        <v>42736</v>
      </c>
      <c r="B161" s="1">
        <v>25</v>
      </c>
      <c r="C161" s="1">
        <v>65</v>
      </c>
      <c r="D161" s="2">
        <v>120000</v>
      </c>
      <c r="E161" s="2">
        <v>2563</v>
      </c>
      <c r="F161" s="3" t="s">
        <v>56</v>
      </c>
      <c r="G161" s="3" t="s">
        <v>639</v>
      </c>
      <c r="H161" s="44">
        <v>159</v>
      </c>
    </row>
    <row r="162" spans="1:8" x14ac:dyDescent="0.35">
      <c r="A162" s="5">
        <v>42736</v>
      </c>
      <c r="B162" s="1">
        <v>25</v>
      </c>
      <c r="C162" s="1">
        <v>65</v>
      </c>
      <c r="D162" s="2">
        <v>127200</v>
      </c>
      <c r="E162" s="2">
        <v>2642</v>
      </c>
      <c r="F162" s="3" t="s">
        <v>56</v>
      </c>
      <c r="G162" s="3" t="s">
        <v>690</v>
      </c>
      <c r="H162" s="44">
        <v>160</v>
      </c>
    </row>
    <row r="163" spans="1:8" x14ac:dyDescent="0.35">
      <c r="A163" s="5">
        <v>42736</v>
      </c>
      <c r="B163" s="1">
        <v>25</v>
      </c>
      <c r="C163" s="1">
        <v>67</v>
      </c>
      <c r="D163" s="2">
        <v>20000</v>
      </c>
      <c r="E163" s="2">
        <v>1053</v>
      </c>
      <c r="F163" s="3" t="s">
        <v>56</v>
      </c>
      <c r="G163" s="3" t="s">
        <v>361</v>
      </c>
      <c r="H163" s="44">
        <v>161</v>
      </c>
    </row>
    <row r="164" spans="1:8" x14ac:dyDescent="0.35">
      <c r="A164" s="5">
        <v>42736</v>
      </c>
      <c r="B164" s="1">
        <v>25</v>
      </c>
      <c r="C164" s="1">
        <v>67</v>
      </c>
      <c r="D164" s="2">
        <v>40000</v>
      </c>
      <c r="E164" s="2">
        <v>1600</v>
      </c>
      <c r="F164" s="3" t="s">
        <v>56</v>
      </c>
      <c r="G164" s="3" t="s">
        <v>791</v>
      </c>
      <c r="H164" s="44">
        <v>162</v>
      </c>
    </row>
    <row r="165" spans="1:8" x14ac:dyDescent="0.35">
      <c r="A165" s="5">
        <v>42736</v>
      </c>
      <c r="B165" s="1">
        <v>25</v>
      </c>
      <c r="C165" s="1">
        <v>67</v>
      </c>
      <c r="D165" s="2">
        <v>60000</v>
      </c>
      <c r="E165" s="2">
        <v>2141</v>
      </c>
      <c r="F165" s="3" t="s">
        <v>56</v>
      </c>
      <c r="G165" s="3" t="s">
        <v>182</v>
      </c>
      <c r="H165" s="44">
        <v>163</v>
      </c>
    </row>
    <row r="166" spans="1:8" x14ac:dyDescent="0.35">
      <c r="A166" s="5">
        <v>42736</v>
      </c>
      <c r="B166" s="1">
        <v>25</v>
      </c>
      <c r="C166" s="1">
        <v>67</v>
      </c>
      <c r="D166" s="2">
        <v>80000</v>
      </c>
      <c r="E166" s="2">
        <v>2452</v>
      </c>
      <c r="F166" s="3" t="s">
        <v>56</v>
      </c>
      <c r="G166" s="3" t="s">
        <v>522</v>
      </c>
      <c r="H166" s="44">
        <v>164</v>
      </c>
    </row>
    <row r="167" spans="1:8" x14ac:dyDescent="0.35">
      <c r="A167" s="5">
        <v>42736</v>
      </c>
      <c r="B167" s="1">
        <v>25</v>
      </c>
      <c r="C167" s="1">
        <v>67</v>
      </c>
      <c r="D167" s="2">
        <v>100000</v>
      </c>
      <c r="E167" s="2">
        <v>2705</v>
      </c>
      <c r="F167" s="3" t="s">
        <v>56</v>
      </c>
      <c r="G167" s="3" t="s">
        <v>513</v>
      </c>
      <c r="H167" s="44">
        <v>165</v>
      </c>
    </row>
    <row r="168" spans="1:8" x14ac:dyDescent="0.35">
      <c r="A168" s="5">
        <v>42736</v>
      </c>
      <c r="B168" s="1">
        <v>25</v>
      </c>
      <c r="C168" s="1">
        <v>67</v>
      </c>
      <c r="D168" s="2">
        <v>120000</v>
      </c>
      <c r="E168" s="2">
        <v>2959</v>
      </c>
      <c r="F168" s="3" t="s">
        <v>56</v>
      </c>
      <c r="G168" s="3" t="s">
        <v>277</v>
      </c>
      <c r="H168" s="44">
        <v>166</v>
      </c>
    </row>
    <row r="169" spans="1:8" x14ac:dyDescent="0.35">
      <c r="A169" s="5">
        <v>42736</v>
      </c>
      <c r="B169" s="1">
        <v>25</v>
      </c>
      <c r="C169" s="1">
        <v>67</v>
      </c>
      <c r="D169" s="2">
        <v>127200</v>
      </c>
      <c r="E169" s="2">
        <v>3050</v>
      </c>
      <c r="F169" s="3" t="s">
        <v>56</v>
      </c>
      <c r="G169" s="3" t="s">
        <v>106</v>
      </c>
      <c r="H169" s="44">
        <v>167</v>
      </c>
    </row>
    <row r="170" spans="1:8" x14ac:dyDescent="0.35">
      <c r="A170" s="5">
        <v>42736</v>
      </c>
      <c r="B170" s="1">
        <v>25</v>
      </c>
      <c r="C170" s="1">
        <v>70</v>
      </c>
      <c r="D170" s="2">
        <v>20000</v>
      </c>
      <c r="E170" s="2">
        <v>1297</v>
      </c>
      <c r="F170" s="3" t="s">
        <v>56</v>
      </c>
      <c r="G170" s="3" t="s">
        <v>772</v>
      </c>
      <c r="H170" s="44">
        <v>168</v>
      </c>
    </row>
    <row r="171" spans="1:8" x14ac:dyDescent="0.35">
      <c r="A171" s="5">
        <v>42736</v>
      </c>
      <c r="B171" s="1">
        <v>25</v>
      </c>
      <c r="C171" s="1">
        <v>70</v>
      </c>
      <c r="D171" s="2">
        <v>40000</v>
      </c>
      <c r="E171" s="2">
        <v>1958</v>
      </c>
      <c r="F171" s="3" t="s">
        <v>56</v>
      </c>
      <c r="G171" s="3" t="s">
        <v>39</v>
      </c>
      <c r="H171" s="44">
        <v>169</v>
      </c>
    </row>
    <row r="172" spans="1:8" x14ac:dyDescent="0.35">
      <c r="A172" s="5">
        <v>42736</v>
      </c>
      <c r="B172" s="1">
        <v>25</v>
      </c>
      <c r="C172" s="1">
        <v>70</v>
      </c>
      <c r="D172" s="2">
        <v>60000</v>
      </c>
      <c r="E172" s="2">
        <v>2620</v>
      </c>
      <c r="F172" s="3" t="s">
        <v>56</v>
      </c>
      <c r="G172" s="3" t="s">
        <v>495</v>
      </c>
      <c r="H172" s="44">
        <v>170</v>
      </c>
    </row>
    <row r="173" spans="1:8" x14ac:dyDescent="0.35">
      <c r="A173" s="5">
        <v>42736</v>
      </c>
      <c r="B173" s="1">
        <v>25</v>
      </c>
      <c r="C173" s="1">
        <v>70</v>
      </c>
      <c r="D173" s="2">
        <v>80000</v>
      </c>
      <c r="E173" s="2">
        <v>3001</v>
      </c>
      <c r="F173" s="3" t="s">
        <v>56</v>
      </c>
      <c r="G173" s="3" t="s">
        <v>222</v>
      </c>
      <c r="H173" s="44">
        <v>171</v>
      </c>
    </row>
    <row r="174" spans="1:8" x14ac:dyDescent="0.35">
      <c r="A174" s="5">
        <v>42736</v>
      </c>
      <c r="B174" s="1">
        <v>25</v>
      </c>
      <c r="C174" s="1">
        <v>70</v>
      </c>
      <c r="D174" s="2">
        <v>100000</v>
      </c>
      <c r="E174" s="2">
        <v>3311</v>
      </c>
      <c r="F174" s="3" t="s">
        <v>56</v>
      </c>
      <c r="G174" s="3" t="s">
        <v>386</v>
      </c>
      <c r="H174" s="44">
        <v>172</v>
      </c>
    </row>
    <row r="175" spans="1:8" x14ac:dyDescent="0.35">
      <c r="A175" s="5">
        <v>42736</v>
      </c>
      <c r="B175" s="1">
        <v>25</v>
      </c>
      <c r="C175" s="1">
        <v>70</v>
      </c>
      <c r="D175" s="2">
        <v>120000</v>
      </c>
      <c r="E175" s="2">
        <v>3621</v>
      </c>
      <c r="F175" s="3" t="s">
        <v>56</v>
      </c>
      <c r="G175" s="3" t="s">
        <v>231</v>
      </c>
      <c r="H175" s="44">
        <v>173</v>
      </c>
    </row>
    <row r="176" spans="1:8" x14ac:dyDescent="0.35">
      <c r="A176" s="5">
        <v>42736</v>
      </c>
      <c r="B176" s="1">
        <v>25</v>
      </c>
      <c r="C176" s="1">
        <v>70</v>
      </c>
      <c r="D176" s="2">
        <v>127200</v>
      </c>
      <c r="E176" s="2">
        <v>3732</v>
      </c>
      <c r="F176" s="3" t="s">
        <v>56</v>
      </c>
      <c r="G176" s="3" t="s">
        <v>410</v>
      </c>
      <c r="H176" s="44">
        <v>174</v>
      </c>
    </row>
    <row r="177" spans="1:8" x14ac:dyDescent="0.35">
      <c r="A177" s="5">
        <v>42736</v>
      </c>
      <c r="B177" s="1">
        <v>25</v>
      </c>
      <c r="C177" s="1">
        <v>75</v>
      </c>
      <c r="D177" s="2">
        <v>20000</v>
      </c>
      <c r="E177" s="2">
        <v>1297</v>
      </c>
      <c r="F177" s="3" t="s">
        <v>56</v>
      </c>
      <c r="G177" s="3" t="s">
        <v>726</v>
      </c>
      <c r="H177" s="44">
        <v>175</v>
      </c>
    </row>
    <row r="178" spans="1:8" x14ac:dyDescent="0.35">
      <c r="A178" s="5">
        <v>42736</v>
      </c>
      <c r="B178" s="1">
        <v>25</v>
      </c>
      <c r="C178" s="1">
        <v>75</v>
      </c>
      <c r="D178" s="2">
        <v>40000</v>
      </c>
      <c r="E178" s="2">
        <v>1958</v>
      </c>
      <c r="F178" s="3" t="s">
        <v>56</v>
      </c>
      <c r="G178" s="3" t="s">
        <v>596</v>
      </c>
      <c r="H178" s="44">
        <v>176</v>
      </c>
    </row>
    <row r="179" spans="1:8" x14ac:dyDescent="0.35">
      <c r="A179" s="5">
        <v>42736</v>
      </c>
      <c r="B179" s="1">
        <v>25</v>
      </c>
      <c r="C179" s="1">
        <v>75</v>
      </c>
      <c r="D179" s="2">
        <v>60000</v>
      </c>
      <c r="E179" s="2">
        <v>2620</v>
      </c>
      <c r="F179" s="3" t="s">
        <v>56</v>
      </c>
      <c r="G179" s="3" t="s">
        <v>518</v>
      </c>
      <c r="H179" s="44">
        <v>177</v>
      </c>
    </row>
    <row r="180" spans="1:8" x14ac:dyDescent="0.35">
      <c r="A180" s="5">
        <v>42736</v>
      </c>
      <c r="B180" s="1">
        <v>25</v>
      </c>
      <c r="C180" s="1">
        <v>75</v>
      </c>
      <c r="D180" s="2">
        <v>80000</v>
      </c>
      <c r="E180" s="2">
        <v>3001</v>
      </c>
      <c r="F180" s="3" t="s">
        <v>56</v>
      </c>
      <c r="G180" s="3" t="s">
        <v>375</v>
      </c>
      <c r="H180" s="44">
        <v>178</v>
      </c>
    </row>
    <row r="181" spans="1:8" x14ac:dyDescent="0.35">
      <c r="A181" s="5">
        <v>42736</v>
      </c>
      <c r="B181" s="1">
        <v>25</v>
      </c>
      <c r="C181" s="1">
        <v>75</v>
      </c>
      <c r="D181" s="2">
        <v>100000</v>
      </c>
      <c r="E181" s="2">
        <v>3311</v>
      </c>
      <c r="F181" s="3" t="s">
        <v>56</v>
      </c>
      <c r="G181" s="3" t="s">
        <v>706</v>
      </c>
      <c r="H181" s="44">
        <v>179</v>
      </c>
    </row>
    <row r="182" spans="1:8" x14ac:dyDescent="0.35">
      <c r="A182" s="5">
        <v>42736</v>
      </c>
      <c r="B182" s="1">
        <v>25</v>
      </c>
      <c r="C182" s="1">
        <v>75</v>
      </c>
      <c r="D182" s="2">
        <v>120000</v>
      </c>
      <c r="E182" s="2">
        <v>3621</v>
      </c>
      <c r="F182" s="3" t="s">
        <v>56</v>
      </c>
      <c r="G182" s="3" t="s">
        <v>671</v>
      </c>
      <c r="H182" s="44">
        <v>180</v>
      </c>
    </row>
    <row r="183" spans="1:8" x14ac:dyDescent="0.35">
      <c r="A183" s="5">
        <v>42736</v>
      </c>
      <c r="B183" s="1">
        <v>25</v>
      </c>
      <c r="C183" s="1">
        <v>75</v>
      </c>
      <c r="D183" s="2">
        <v>127200</v>
      </c>
      <c r="E183" s="2">
        <v>3732</v>
      </c>
      <c r="F183" s="3" t="s">
        <v>56</v>
      </c>
      <c r="G183" s="3" t="s">
        <v>29</v>
      </c>
      <c r="H183" s="44">
        <v>181</v>
      </c>
    </row>
    <row r="184" spans="1:8" x14ac:dyDescent="0.35">
      <c r="A184" s="5">
        <v>42736</v>
      </c>
      <c r="B184" s="1">
        <v>25</v>
      </c>
      <c r="C184" s="1">
        <v>80</v>
      </c>
      <c r="D184" s="2">
        <v>20000</v>
      </c>
      <c r="E184" s="2">
        <v>1297</v>
      </c>
      <c r="F184" s="3" t="s">
        <v>56</v>
      </c>
      <c r="G184" s="3" t="s">
        <v>509</v>
      </c>
      <c r="H184" s="44">
        <v>182</v>
      </c>
    </row>
    <row r="185" spans="1:8" x14ac:dyDescent="0.35">
      <c r="A185" s="5">
        <v>42736</v>
      </c>
      <c r="B185" s="1">
        <v>25</v>
      </c>
      <c r="C185" s="1">
        <v>80</v>
      </c>
      <c r="D185" s="2">
        <v>40000</v>
      </c>
      <c r="E185" s="2">
        <v>1958</v>
      </c>
      <c r="F185" s="3" t="s">
        <v>56</v>
      </c>
      <c r="G185" s="3" t="s">
        <v>352</v>
      </c>
      <c r="H185" s="44">
        <v>183</v>
      </c>
    </row>
    <row r="186" spans="1:8" x14ac:dyDescent="0.35">
      <c r="A186" s="5">
        <v>42736</v>
      </c>
      <c r="B186" s="1">
        <v>25</v>
      </c>
      <c r="C186" s="1">
        <v>80</v>
      </c>
      <c r="D186" s="2">
        <v>60000</v>
      </c>
      <c r="E186" s="2">
        <v>2620</v>
      </c>
      <c r="F186" s="3" t="s">
        <v>56</v>
      </c>
      <c r="G186" s="3" t="s">
        <v>567</v>
      </c>
      <c r="H186" s="44">
        <v>184</v>
      </c>
    </row>
    <row r="187" spans="1:8" x14ac:dyDescent="0.35">
      <c r="A187" s="5">
        <v>42736</v>
      </c>
      <c r="B187" s="1">
        <v>25</v>
      </c>
      <c r="C187" s="1">
        <v>80</v>
      </c>
      <c r="D187" s="2">
        <v>80000</v>
      </c>
      <c r="E187" s="2">
        <v>3001</v>
      </c>
      <c r="F187" s="3" t="s">
        <v>56</v>
      </c>
      <c r="G187" s="3" t="s">
        <v>128</v>
      </c>
      <c r="H187" s="44">
        <v>185</v>
      </c>
    </row>
    <row r="188" spans="1:8" x14ac:dyDescent="0.35">
      <c r="A188" s="5">
        <v>42736</v>
      </c>
      <c r="B188" s="1">
        <v>25</v>
      </c>
      <c r="C188" s="1">
        <v>80</v>
      </c>
      <c r="D188" s="2">
        <v>100000</v>
      </c>
      <c r="E188" s="2">
        <v>3311</v>
      </c>
      <c r="F188" s="3" t="s">
        <v>56</v>
      </c>
      <c r="G188" s="3" t="s">
        <v>622</v>
      </c>
      <c r="H188" s="44">
        <v>186</v>
      </c>
    </row>
    <row r="189" spans="1:8" x14ac:dyDescent="0.35">
      <c r="A189" s="5">
        <v>42736</v>
      </c>
      <c r="B189" s="1">
        <v>25</v>
      </c>
      <c r="C189" s="1">
        <v>80</v>
      </c>
      <c r="D189" s="2">
        <v>120000</v>
      </c>
      <c r="E189" s="2">
        <v>3621</v>
      </c>
      <c r="F189" s="3" t="s">
        <v>56</v>
      </c>
      <c r="G189" s="3" t="s">
        <v>102</v>
      </c>
      <c r="H189" s="44">
        <v>187</v>
      </c>
    </row>
    <row r="190" spans="1:8" x14ac:dyDescent="0.35">
      <c r="A190" s="5">
        <v>42736</v>
      </c>
      <c r="B190" s="1">
        <v>25</v>
      </c>
      <c r="C190" s="1">
        <v>80</v>
      </c>
      <c r="D190" s="2">
        <v>127200</v>
      </c>
      <c r="E190" s="2">
        <v>3732</v>
      </c>
      <c r="F190" s="3" t="s">
        <v>56</v>
      </c>
      <c r="G190" s="3" t="s">
        <v>549</v>
      </c>
      <c r="H190" s="44">
        <v>188</v>
      </c>
    </row>
    <row r="191" spans="1:8" x14ac:dyDescent="0.35">
      <c r="A191" s="5">
        <v>42736</v>
      </c>
      <c r="B191" s="1">
        <v>25</v>
      </c>
      <c r="C191" s="1">
        <v>85</v>
      </c>
      <c r="D191" s="2">
        <v>20000</v>
      </c>
      <c r="E191" s="2">
        <v>1297</v>
      </c>
      <c r="F191" s="3" t="s">
        <v>56</v>
      </c>
      <c r="G191" s="3" t="s">
        <v>101</v>
      </c>
      <c r="H191" s="44">
        <v>189</v>
      </c>
    </row>
    <row r="192" spans="1:8" x14ac:dyDescent="0.35">
      <c r="A192" s="5">
        <v>42736</v>
      </c>
      <c r="B192" s="1">
        <v>25</v>
      </c>
      <c r="C192" s="1">
        <v>85</v>
      </c>
      <c r="D192" s="2">
        <v>40000</v>
      </c>
      <c r="E192" s="2">
        <v>1958</v>
      </c>
      <c r="F192" s="3" t="s">
        <v>56</v>
      </c>
      <c r="G192" s="3" t="s">
        <v>7</v>
      </c>
      <c r="H192" s="44">
        <v>190</v>
      </c>
    </row>
    <row r="193" spans="1:8" x14ac:dyDescent="0.35">
      <c r="A193" s="5">
        <v>42736</v>
      </c>
      <c r="B193" s="1">
        <v>25</v>
      </c>
      <c r="C193" s="1">
        <v>85</v>
      </c>
      <c r="D193" s="2">
        <v>60000</v>
      </c>
      <c r="E193" s="2">
        <v>2620</v>
      </c>
      <c r="F193" s="3" t="s">
        <v>56</v>
      </c>
      <c r="G193" s="3" t="s">
        <v>699</v>
      </c>
      <c r="H193" s="44">
        <v>191</v>
      </c>
    </row>
    <row r="194" spans="1:8" x14ac:dyDescent="0.35">
      <c r="A194" s="5">
        <v>42736</v>
      </c>
      <c r="B194" s="1">
        <v>25</v>
      </c>
      <c r="C194" s="1">
        <v>85</v>
      </c>
      <c r="D194" s="2">
        <v>80000</v>
      </c>
      <c r="E194" s="2">
        <v>3001</v>
      </c>
      <c r="F194" s="3" t="s">
        <v>56</v>
      </c>
      <c r="G194" s="3" t="s">
        <v>346</v>
      </c>
      <c r="H194" s="44">
        <v>192</v>
      </c>
    </row>
    <row r="195" spans="1:8" x14ac:dyDescent="0.35">
      <c r="A195" s="5">
        <v>42736</v>
      </c>
      <c r="B195" s="1">
        <v>25</v>
      </c>
      <c r="C195" s="1">
        <v>85</v>
      </c>
      <c r="D195" s="2">
        <v>100000</v>
      </c>
      <c r="E195" s="2">
        <v>3311</v>
      </c>
      <c r="F195" s="3" t="s">
        <v>56</v>
      </c>
      <c r="G195" s="3" t="s">
        <v>360</v>
      </c>
      <c r="H195" s="44">
        <v>193</v>
      </c>
    </row>
    <row r="196" spans="1:8" x14ac:dyDescent="0.35">
      <c r="A196" s="5">
        <v>42736</v>
      </c>
      <c r="B196" s="1">
        <v>25</v>
      </c>
      <c r="C196" s="1">
        <v>85</v>
      </c>
      <c r="D196" s="2">
        <v>120000</v>
      </c>
      <c r="E196" s="2">
        <v>3621</v>
      </c>
      <c r="F196" s="3" t="s">
        <v>56</v>
      </c>
      <c r="G196" s="3" t="s">
        <v>266</v>
      </c>
      <c r="H196" s="44">
        <v>194</v>
      </c>
    </row>
    <row r="197" spans="1:8" x14ac:dyDescent="0.35">
      <c r="A197" s="5">
        <v>42736</v>
      </c>
      <c r="B197" s="1">
        <v>25</v>
      </c>
      <c r="C197" s="1">
        <v>85</v>
      </c>
      <c r="D197" s="2">
        <v>127200</v>
      </c>
      <c r="E197" s="2">
        <v>3732</v>
      </c>
      <c r="F197" s="3" t="s">
        <v>56</v>
      </c>
      <c r="G197" s="3" t="s">
        <v>739</v>
      </c>
      <c r="H197" s="44">
        <v>195</v>
      </c>
    </row>
    <row r="198" spans="1:8" x14ac:dyDescent="0.35">
      <c r="A198" s="5">
        <v>42736</v>
      </c>
      <c r="B198" s="1">
        <v>30</v>
      </c>
      <c r="C198" s="1">
        <v>62</v>
      </c>
      <c r="D198" s="2">
        <v>20000</v>
      </c>
      <c r="E198" s="2">
        <v>733</v>
      </c>
      <c r="F198" s="3" t="s">
        <v>56</v>
      </c>
      <c r="G198" s="3" t="s">
        <v>33</v>
      </c>
      <c r="H198" s="44">
        <v>196</v>
      </c>
    </row>
    <row r="199" spans="1:8" x14ac:dyDescent="0.35">
      <c r="A199" s="5">
        <v>42736</v>
      </c>
      <c r="B199" s="1">
        <v>30</v>
      </c>
      <c r="C199" s="1">
        <v>62</v>
      </c>
      <c r="D199" s="2">
        <v>40000</v>
      </c>
      <c r="E199" s="2">
        <v>1112</v>
      </c>
      <c r="F199" s="3" t="s">
        <v>56</v>
      </c>
      <c r="G199" s="3" t="s">
        <v>3</v>
      </c>
      <c r="H199" s="44">
        <v>197</v>
      </c>
    </row>
    <row r="200" spans="1:8" x14ac:dyDescent="0.35">
      <c r="A200" s="5">
        <v>42736</v>
      </c>
      <c r="B200" s="1">
        <v>30</v>
      </c>
      <c r="C200" s="1">
        <v>62</v>
      </c>
      <c r="D200" s="2">
        <v>60000</v>
      </c>
      <c r="E200" s="2">
        <v>1487</v>
      </c>
      <c r="F200" s="3" t="s">
        <v>56</v>
      </c>
      <c r="G200" s="3" t="s">
        <v>327</v>
      </c>
      <c r="H200" s="44">
        <v>198</v>
      </c>
    </row>
    <row r="201" spans="1:8" x14ac:dyDescent="0.35">
      <c r="A201" s="5">
        <v>42736</v>
      </c>
      <c r="B201" s="1">
        <v>30</v>
      </c>
      <c r="C201" s="1">
        <v>62</v>
      </c>
      <c r="D201" s="2">
        <v>80000</v>
      </c>
      <c r="E201" s="2">
        <v>1708</v>
      </c>
      <c r="F201" s="3" t="s">
        <v>56</v>
      </c>
      <c r="G201" s="3" t="s">
        <v>289</v>
      </c>
      <c r="H201" s="44">
        <v>199</v>
      </c>
    </row>
    <row r="202" spans="1:8" x14ac:dyDescent="0.35">
      <c r="A202" s="5">
        <v>42736</v>
      </c>
      <c r="B202" s="1">
        <v>30</v>
      </c>
      <c r="C202" s="1">
        <v>62</v>
      </c>
      <c r="D202" s="2">
        <v>100000</v>
      </c>
      <c r="E202" s="2">
        <v>1883</v>
      </c>
      <c r="F202" s="3" t="s">
        <v>56</v>
      </c>
      <c r="G202" s="3" t="s">
        <v>265</v>
      </c>
      <c r="H202" s="44">
        <v>200</v>
      </c>
    </row>
    <row r="203" spans="1:8" x14ac:dyDescent="0.35">
      <c r="A203" s="5">
        <v>42736</v>
      </c>
      <c r="B203" s="1">
        <v>30</v>
      </c>
      <c r="C203" s="1">
        <v>62</v>
      </c>
      <c r="D203" s="2">
        <v>120000</v>
      </c>
      <c r="E203" s="2">
        <v>2059</v>
      </c>
      <c r="F203" s="3" t="s">
        <v>56</v>
      </c>
      <c r="G203" s="3" t="s">
        <v>715</v>
      </c>
      <c r="H203" s="44">
        <v>201</v>
      </c>
    </row>
    <row r="204" spans="1:8" x14ac:dyDescent="0.35">
      <c r="A204" s="5">
        <v>42736</v>
      </c>
      <c r="B204" s="1">
        <v>30</v>
      </c>
      <c r="C204" s="1">
        <v>62</v>
      </c>
      <c r="D204" s="2">
        <v>127200</v>
      </c>
      <c r="E204" s="2">
        <v>2122</v>
      </c>
      <c r="F204" s="3" t="s">
        <v>56</v>
      </c>
      <c r="G204" s="3" t="s">
        <v>9</v>
      </c>
      <c r="H204" s="44">
        <v>202</v>
      </c>
    </row>
    <row r="205" spans="1:8" x14ac:dyDescent="0.35">
      <c r="A205" s="5">
        <v>42736</v>
      </c>
      <c r="B205" s="1">
        <v>30</v>
      </c>
      <c r="C205" s="1">
        <v>65</v>
      </c>
      <c r="D205" s="2">
        <v>20000</v>
      </c>
      <c r="E205" s="2">
        <v>912</v>
      </c>
      <c r="F205" s="3" t="s">
        <v>56</v>
      </c>
      <c r="G205" s="3" t="s">
        <v>13</v>
      </c>
      <c r="H205" s="44">
        <v>203</v>
      </c>
    </row>
    <row r="206" spans="1:8" x14ac:dyDescent="0.35">
      <c r="A206" s="5">
        <v>42736</v>
      </c>
      <c r="B206" s="1">
        <v>30</v>
      </c>
      <c r="C206" s="1">
        <v>65</v>
      </c>
      <c r="D206" s="2">
        <v>40000</v>
      </c>
      <c r="E206" s="2">
        <v>1386</v>
      </c>
      <c r="F206" s="3" t="s">
        <v>56</v>
      </c>
      <c r="G206" s="3" t="s">
        <v>261</v>
      </c>
      <c r="H206" s="44">
        <v>204</v>
      </c>
    </row>
    <row r="207" spans="1:8" x14ac:dyDescent="0.35">
      <c r="A207" s="5">
        <v>42736</v>
      </c>
      <c r="B207" s="1">
        <v>30</v>
      </c>
      <c r="C207" s="1">
        <v>65</v>
      </c>
      <c r="D207" s="2">
        <v>60000</v>
      </c>
      <c r="E207" s="2">
        <v>1855</v>
      </c>
      <c r="F207" s="3" t="s">
        <v>56</v>
      </c>
      <c r="G207" s="3" t="s">
        <v>494</v>
      </c>
      <c r="H207" s="44">
        <v>205</v>
      </c>
    </row>
    <row r="208" spans="1:8" x14ac:dyDescent="0.35">
      <c r="A208" s="5">
        <v>42736</v>
      </c>
      <c r="B208" s="1">
        <v>30</v>
      </c>
      <c r="C208" s="1">
        <v>65</v>
      </c>
      <c r="D208" s="2">
        <v>80000</v>
      </c>
      <c r="E208" s="2">
        <v>2124</v>
      </c>
      <c r="F208" s="3" t="s">
        <v>56</v>
      </c>
      <c r="G208" s="3" t="s">
        <v>478</v>
      </c>
      <c r="H208" s="44">
        <v>206</v>
      </c>
    </row>
    <row r="209" spans="1:8" x14ac:dyDescent="0.35">
      <c r="A209" s="5">
        <v>42736</v>
      </c>
      <c r="B209" s="1">
        <v>30</v>
      </c>
      <c r="C209" s="1">
        <v>65</v>
      </c>
      <c r="D209" s="2">
        <v>100000</v>
      </c>
      <c r="E209" s="2">
        <v>2343</v>
      </c>
      <c r="F209" s="3" t="s">
        <v>56</v>
      </c>
      <c r="G209" s="3" t="s">
        <v>458</v>
      </c>
      <c r="H209" s="44">
        <v>207</v>
      </c>
    </row>
    <row r="210" spans="1:8" x14ac:dyDescent="0.35">
      <c r="A210" s="5">
        <v>42736</v>
      </c>
      <c r="B210" s="1">
        <v>30</v>
      </c>
      <c r="C210" s="1">
        <v>65</v>
      </c>
      <c r="D210" s="2">
        <v>120000</v>
      </c>
      <c r="E210" s="2">
        <v>2563</v>
      </c>
      <c r="F210" s="3" t="s">
        <v>56</v>
      </c>
      <c r="G210" s="3" t="s">
        <v>517</v>
      </c>
      <c r="H210" s="44">
        <v>208</v>
      </c>
    </row>
    <row r="211" spans="1:8" x14ac:dyDescent="0.35">
      <c r="A211" s="5">
        <v>42736</v>
      </c>
      <c r="B211" s="1">
        <v>30</v>
      </c>
      <c r="C211" s="1">
        <v>65</v>
      </c>
      <c r="D211" s="2">
        <v>127200</v>
      </c>
      <c r="E211" s="2">
        <v>2642</v>
      </c>
      <c r="F211" s="3" t="s">
        <v>56</v>
      </c>
      <c r="G211" s="3" t="s">
        <v>82</v>
      </c>
      <c r="H211" s="44">
        <v>209</v>
      </c>
    </row>
    <row r="212" spans="1:8" x14ac:dyDescent="0.35">
      <c r="A212" s="5">
        <v>42736</v>
      </c>
      <c r="B212" s="1">
        <v>30</v>
      </c>
      <c r="C212" s="1">
        <v>67</v>
      </c>
      <c r="D212" s="2">
        <v>20000</v>
      </c>
      <c r="E212" s="2">
        <v>1053</v>
      </c>
      <c r="F212" s="3" t="s">
        <v>56</v>
      </c>
      <c r="G212" s="3" t="s">
        <v>70</v>
      </c>
      <c r="H212" s="44">
        <v>210</v>
      </c>
    </row>
    <row r="213" spans="1:8" x14ac:dyDescent="0.35">
      <c r="A213" s="5">
        <v>42736</v>
      </c>
      <c r="B213" s="1">
        <v>30</v>
      </c>
      <c r="C213" s="1">
        <v>67</v>
      </c>
      <c r="D213" s="2">
        <v>40000</v>
      </c>
      <c r="E213" s="2">
        <v>1600</v>
      </c>
      <c r="F213" s="3" t="s">
        <v>56</v>
      </c>
      <c r="G213" s="3" t="s">
        <v>253</v>
      </c>
      <c r="H213" s="44">
        <v>211</v>
      </c>
    </row>
    <row r="214" spans="1:8" x14ac:dyDescent="0.35">
      <c r="A214" s="5">
        <v>42736</v>
      </c>
      <c r="B214" s="1">
        <v>30</v>
      </c>
      <c r="C214" s="1">
        <v>67</v>
      </c>
      <c r="D214" s="2">
        <v>60000</v>
      </c>
      <c r="E214" s="2">
        <v>2141</v>
      </c>
      <c r="F214" s="3" t="s">
        <v>56</v>
      </c>
      <c r="G214" s="3" t="s">
        <v>555</v>
      </c>
      <c r="H214" s="44">
        <v>212</v>
      </c>
    </row>
    <row r="215" spans="1:8" x14ac:dyDescent="0.35">
      <c r="A215" s="5">
        <v>42736</v>
      </c>
      <c r="B215" s="1">
        <v>30</v>
      </c>
      <c r="C215" s="1">
        <v>67</v>
      </c>
      <c r="D215" s="2">
        <v>80000</v>
      </c>
      <c r="E215" s="2">
        <v>2452</v>
      </c>
      <c r="F215" s="3" t="s">
        <v>56</v>
      </c>
      <c r="G215" s="3" t="s">
        <v>749</v>
      </c>
      <c r="H215" s="44">
        <v>213</v>
      </c>
    </row>
    <row r="216" spans="1:8" x14ac:dyDescent="0.35">
      <c r="A216" s="5">
        <v>42736</v>
      </c>
      <c r="B216" s="1">
        <v>30</v>
      </c>
      <c r="C216" s="1">
        <v>67</v>
      </c>
      <c r="D216" s="2">
        <v>100000</v>
      </c>
      <c r="E216" s="2">
        <v>2705</v>
      </c>
      <c r="F216" s="3" t="s">
        <v>56</v>
      </c>
      <c r="G216" s="3" t="s">
        <v>661</v>
      </c>
      <c r="H216" s="44">
        <v>214</v>
      </c>
    </row>
    <row r="217" spans="1:8" x14ac:dyDescent="0.35">
      <c r="A217" s="5">
        <v>42736</v>
      </c>
      <c r="B217" s="1">
        <v>30</v>
      </c>
      <c r="C217" s="1">
        <v>67</v>
      </c>
      <c r="D217" s="2">
        <v>120000</v>
      </c>
      <c r="E217" s="2">
        <v>2959</v>
      </c>
      <c r="F217" s="3" t="s">
        <v>56</v>
      </c>
      <c r="G217" s="3" t="s">
        <v>417</v>
      </c>
      <c r="H217" s="44">
        <v>215</v>
      </c>
    </row>
    <row r="218" spans="1:8" x14ac:dyDescent="0.35">
      <c r="A218" s="5">
        <v>42736</v>
      </c>
      <c r="B218" s="1">
        <v>30</v>
      </c>
      <c r="C218" s="1">
        <v>67</v>
      </c>
      <c r="D218" s="2">
        <v>127200</v>
      </c>
      <c r="E218" s="2">
        <v>3050</v>
      </c>
      <c r="F218" s="3" t="s">
        <v>56</v>
      </c>
      <c r="G218" s="3" t="s">
        <v>173</v>
      </c>
      <c r="H218" s="44">
        <v>216</v>
      </c>
    </row>
    <row r="219" spans="1:8" x14ac:dyDescent="0.35">
      <c r="A219" s="5">
        <v>42736</v>
      </c>
      <c r="B219" s="1">
        <v>30</v>
      </c>
      <c r="C219" s="1">
        <v>70</v>
      </c>
      <c r="D219" s="2">
        <v>20000</v>
      </c>
      <c r="E219" s="2">
        <v>1297</v>
      </c>
      <c r="F219" s="3" t="s">
        <v>56</v>
      </c>
      <c r="G219" s="3" t="s">
        <v>675</v>
      </c>
      <c r="H219" s="44">
        <v>217</v>
      </c>
    </row>
    <row r="220" spans="1:8" x14ac:dyDescent="0.35">
      <c r="A220" s="5">
        <v>42736</v>
      </c>
      <c r="B220" s="1">
        <v>30</v>
      </c>
      <c r="C220" s="1">
        <v>70</v>
      </c>
      <c r="D220" s="2">
        <v>40000</v>
      </c>
      <c r="E220" s="2">
        <v>1958</v>
      </c>
      <c r="F220" s="3" t="s">
        <v>56</v>
      </c>
      <c r="G220" s="3" t="s">
        <v>554</v>
      </c>
      <c r="H220" s="44">
        <v>218</v>
      </c>
    </row>
    <row r="221" spans="1:8" x14ac:dyDescent="0.35">
      <c r="A221" s="5">
        <v>42736</v>
      </c>
      <c r="B221" s="1">
        <v>30</v>
      </c>
      <c r="C221" s="1">
        <v>70</v>
      </c>
      <c r="D221" s="2">
        <v>60000</v>
      </c>
      <c r="E221" s="2">
        <v>2620</v>
      </c>
      <c r="F221" s="3" t="s">
        <v>56</v>
      </c>
      <c r="G221" s="3" t="s">
        <v>471</v>
      </c>
      <c r="H221" s="44">
        <v>219</v>
      </c>
    </row>
    <row r="222" spans="1:8" x14ac:dyDescent="0.35">
      <c r="A222" s="5">
        <v>42736</v>
      </c>
      <c r="B222" s="1">
        <v>30</v>
      </c>
      <c r="C222" s="1">
        <v>70</v>
      </c>
      <c r="D222" s="2">
        <v>80000</v>
      </c>
      <c r="E222" s="2">
        <v>3001</v>
      </c>
      <c r="F222" s="3" t="s">
        <v>56</v>
      </c>
      <c r="G222" s="3" t="s">
        <v>24</v>
      </c>
      <c r="H222" s="44">
        <v>220</v>
      </c>
    </row>
    <row r="223" spans="1:8" x14ac:dyDescent="0.35">
      <c r="A223" s="5">
        <v>42736</v>
      </c>
      <c r="B223" s="1">
        <v>30</v>
      </c>
      <c r="C223" s="1">
        <v>70</v>
      </c>
      <c r="D223" s="2">
        <v>100000</v>
      </c>
      <c r="E223" s="2">
        <v>3311</v>
      </c>
      <c r="F223" s="3" t="s">
        <v>56</v>
      </c>
      <c r="G223" s="3" t="s">
        <v>337</v>
      </c>
      <c r="H223" s="44">
        <v>221</v>
      </c>
    </row>
    <row r="224" spans="1:8" x14ac:dyDescent="0.35">
      <c r="A224" s="5">
        <v>42736</v>
      </c>
      <c r="B224" s="1">
        <v>30</v>
      </c>
      <c r="C224" s="1">
        <v>70</v>
      </c>
      <c r="D224" s="2">
        <v>120000</v>
      </c>
      <c r="E224" s="2">
        <v>3621</v>
      </c>
      <c r="F224" s="3" t="s">
        <v>56</v>
      </c>
      <c r="G224" s="3" t="s">
        <v>23</v>
      </c>
      <c r="H224" s="44">
        <v>222</v>
      </c>
    </row>
    <row r="225" spans="1:8" x14ac:dyDescent="0.35">
      <c r="A225" s="5">
        <v>42736</v>
      </c>
      <c r="B225" s="1">
        <v>30</v>
      </c>
      <c r="C225" s="1">
        <v>70</v>
      </c>
      <c r="D225" s="2">
        <v>127200</v>
      </c>
      <c r="E225" s="2">
        <v>3732</v>
      </c>
      <c r="F225" s="3" t="s">
        <v>56</v>
      </c>
      <c r="G225" s="3" t="s">
        <v>700</v>
      </c>
      <c r="H225" s="44">
        <v>223</v>
      </c>
    </row>
    <row r="226" spans="1:8" x14ac:dyDescent="0.35">
      <c r="A226" s="5">
        <v>42736</v>
      </c>
      <c r="B226" s="1">
        <v>30</v>
      </c>
      <c r="C226" s="1">
        <v>75</v>
      </c>
      <c r="D226" s="2">
        <v>20000</v>
      </c>
      <c r="E226" s="2">
        <v>1297</v>
      </c>
      <c r="F226" s="3" t="s">
        <v>56</v>
      </c>
      <c r="G226" s="3" t="s">
        <v>648</v>
      </c>
      <c r="H226" s="44">
        <v>224</v>
      </c>
    </row>
    <row r="227" spans="1:8" x14ac:dyDescent="0.35">
      <c r="A227" s="5">
        <v>42736</v>
      </c>
      <c r="B227" s="1">
        <v>30</v>
      </c>
      <c r="C227" s="1">
        <v>75</v>
      </c>
      <c r="D227" s="2">
        <v>40000</v>
      </c>
      <c r="E227" s="2">
        <v>1958</v>
      </c>
      <c r="F227" s="3" t="s">
        <v>56</v>
      </c>
      <c r="G227" s="3" t="s">
        <v>77</v>
      </c>
      <c r="H227" s="44">
        <v>225</v>
      </c>
    </row>
    <row r="228" spans="1:8" x14ac:dyDescent="0.35">
      <c r="A228" s="5">
        <v>42736</v>
      </c>
      <c r="B228" s="1">
        <v>30</v>
      </c>
      <c r="C228" s="1">
        <v>75</v>
      </c>
      <c r="D228" s="2">
        <v>60000</v>
      </c>
      <c r="E228" s="2">
        <v>2620</v>
      </c>
      <c r="F228" s="3" t="s">
        <v>56</v>
      </c>
      <c r="G228" s="3" t="s">
        <v>481</v>
      </c>
      <c r="H228" s="44">
        <v>226</v>
      </c>
    </row>
    <row r="229" spans="1:8" x14ac:dyDescent="0.35">
      <c r="A229" s="5">
        <v>42736</v>
      </c>
      <c r="B229" s="1">
        <v>30</v>
      </c>
      <c r="C229" s="1">
        <v>75</v>
      </c>
      <c r="D229" s="2">
        <v>80000</v>
      </c>
      <c r="E229" s="2">
        <v>3001</v>
      </c>
      <c r="F229" s="3" t="s">
        <v>56</v>
      </c>
      <c r="G229" s="3" t="s">
        <v>701</v>
      </c>
      <c r="H229" s="44">
        <v>227</v>
      </c>
    </row>
    <row r="230" spans="1:8" x14ac:dyDescent="0.35">
      <c r="A230" s="5">
        <v>42736</v>
      </c>
      <c r="B230" s="1">
        <v>30</v>
      </c>
      <c r="C230" s="1">
        <v>75</v>
      </c>
      <c r="D230" s="2">
        <v>100000</v>
      </c>
      <c r="E230" s="2">
        <v>3311</v>
      </c>
      <c r="F230" s="3" t="s">
        <v>56</v>
      </c>
      <c r="G230" s="3" t="s">
        <v>748</v>
      </c>
      <c r="H230" s="44">
        <v>228</v>
      </c>
    </row>
    <row r="231" spans="1:8" x14ac:dyDescent="0.35">
      <c r="A231" s="5">
        <v>42736</v>
      </c>
      <c r="B231" s="1">
        <v>30</v>
      </c>
      <c r="C231" s="1">
        <v>75</v>
      </c>
      <c r="D231" s="2">
        <v>120000</v>
      </c>
      <c r="E231" s="2">
        <v>3621</v>
      </c>
      <c r="F231" s="3" t="s">
        <v>56</v>
      </c>
      <c r="G231" s="3" t="s">
        <v>127</v>
      </c>
      <c r="H231" s="44">
        <v>229</v>
      </c>
    </row>
    <row r="232" spans="1:8" x14ac:dyDescent="0.35">
      <c r="A232" s="5">
        <v>42736</v>
      </c>
      <c r="B232" s="1">
        <v>30</v>
      </c>
      <c r="C232" s="1">
        <v>75</v>
      </c>
      <c r="D232" s="2">
        <v>127200</v>
      </c>
      <c r="E232" s="2">
        <v>3732</v>
      </c>
      <c r="F232" s="3" t="s">
        <v>56</v>
      </c>
      <c r="G232" s="3" t="s">
        <v>543</v>
      </c>
      <c r="H232" s="44">
        <v>230</v>
      </c>
    </row>
    <row r="233" spans="1:8" x14ac:dyDescent="0.35">
      <c r="A233" s="5">
        <v>42736</v>
      </c>
      <c r="B233" s="1">
        <v>30</v>
      </c>
      <c r="C233" s="1">
        <v>80</v>
      </c>
      <c r="D233" s="2">
        <v>20000</v>
      </c>
      <c r="E233" s="2">
        <v>1297</v>
      </c>
      <c r="F233" s="3" t="s">
        <v>56</v>
      </c>
      <c r="G233" s="3" t="s">
        <v>594</v>
      </c>
      <c r="H233" s="44">
        <v>231</v>
      </c>
    </row>
    <row r="234" spans="1:8" x14ac:dyDescent="0.35">
      <c r="A234" s="5">
        <v>42736</v>
      </c>
      <c r="B234" s="1">
        <v>30</v>
      </c>
      <c r="C234" s="1">
        <v>80</v>
      </c>
      <c r="D234" s="2">
        <v>40000</v>
      </c>
      <c r="E234" s="2">
        <v>1958</v>
      </c>
      <c r="F234" s="3" t="s">
        <v>56</v>
      </c>
      <c r="G234" s="3" t="s">
        <v>674</v>
      </c>
      <c r="H234" s="44">
        <v>232</v>
      </c>
    </row>
    <row r="235" spans="1:8" x14ac:dyDescent="0.35">
      <c r="A235" s="5">
        <v>42736</v>
      </c>
      <c r="B235" s="1">
        <v>30</v>
      </c>
      <c r="C235" s="1">
        <v>80</v>
      </c>
      <c r="D235" s="2">
        <v>60000</v>
      </c>
      <c r="E235" s="2">
        <v>2620</v>
      </c>
      <c r="F235" s="3" t="s">
        <v>56</v>
      </c>
      <c r="G235" s="3" t="s">
        <v>286</v>
      </c>
      <c r="H235" s="44">
        <v>233</v>
      </c>
    </row>
    <row r="236" spans="1:8" x14ac:dyDescent="0.35">
      <c r="A236" s="5">
        <v>42736</v>
      </c>
      <c r="B236" s="1">
        <v>30</v>
      </c>
      <c r="C236" s="1">
        <v>80</v>
      </c>
      <c r="D236" s="2">
        <v>80000</v>
      </c>
      <c r="E236" s="2">
        <v>3001</v>
      </c>
      <c r="F236" s="3" t="s">
        <v>56</v>
      </c>
      <c r="G236" s="3" t="s">
        <v>108</v>
      </c>
      <c r="H236" s="44">
        <v>234</v>
      </c>
    </row>
    <row r="237" spans="1:8" x14ac:dyDescent="0.35">
      <c r="A237" s="5">
        <v>42736</v>
      </c>
      <c r="B237" s="1">
        <v>30</v>
      </c>
      <c r="C237" s="1">
        <v>80</v>
      </c>
      <c r="D237" s="2">
        <v>100000</v>
      </c>
      <c r="E237" s="2">
        <v>3311</v>
      </c>
      <c r="F237" s="3" t="s">
        <v>56</v>
      </c>
      <c r="G237" s="3" t="s">
        <v>766</v>
      </c>
      <c r="H237" s="44">
        <v>235</v>
      </c>
    </row>
    <row r="238" spans="1:8" x14ac:dyDescent="0.35">
      <c r="A238" s="5">
        <v>42736</v>
      </c>
      <c r="B238" s="1">
        <v>30</v>
      </c>
      <c r="C238" s="1">
        <v>80</v>
      </c>
      <c r="D238" s="2">
        <v>120000</v>
      </c>
      <c r="E238" s="2">
        <v>3621</v>
      </c>
      <c r="F238" s="3" t="s">
        <v>56</v>
      </c>
      <c r="G238" s="3" t="s">
        <v>634</v>
      </c>
      <c r="H238" s="44">
        <v>236</v>
      </c>
    </row>
    <row r="239" spans="1:8" x14ac:dyDescent="0.35">
      <c r="A239" s="5">
        <v>42736</v>
      </c>
      <c r="B239" s="1">
        <v>30</v>
      </c>
      <c r="C239" s="1">
        <v>80</v>
      </c>
      <c r="D239" s="2">
        <v>127200</v>
      </c>
      <c r="E239" s="2">
        <v>3732</v>
      </c>
      <c r="F239" s="3" t="s">
        <v>56</v>
      </c>
      <c r="G239" s="3" t="s">
        <v>369</v>
      </c>
      <c r="H239" s="44">
        <v>237</v>
      </c>
    </row>
    <row r="240" spans="1:8" x14ac:dyDescent="0.35">
      <c r="A240" s="5">
        <v>42736</v>
      </c>
      <c r="B240" s="1">
        <v>30</v>
      </c>
      <c r="C240" s="1">
        <v>85</v>
      </c>
      <c r="D240" s="2">
        <v>20000</v>
      </c>
      <c r="E240" s="2">
        <v>1297</v>
      </c>
      <c r="F240" s="3" t="s">
        <v>56</v>
      </c>
      <c r="G240" s="3" t="s">
        <v>601</v>
      </c>
      <c r="H240" s="44">
        <v>238</v>
      </c>
    </row>
    <row r="241" spans="1:8" x14ac:dyDescent="0.35">
      <c r="A241" s="5">
        <v>42736</v>
      </c>
      <c r="B241" s="1">
        <v>30</v>
      </c>
      <c r="C241" s="1">
        <v>85</v>
      </c>
      <c r="D241" s="2">
        <v>40000</v>
      </c>
      <c r="E241" s="2">
        <v>1958</v>
      </c>
      <c r="F241" s="3" t="s">
        <v>56</v>
      </c>
      <c r="G241" s="3" t="s">
        <v>252</v>
      </c>
      <c r="H241" s="44">
        <v>239</v>
      </c>
    </row>
    <row r="242" spans="1:8" x14ac:dyDescent="0.35">
      <c r="A242" s="5">
        <v>42736</v>
      </c>
      <c r="B242" s="1">
        <v>30</v>
      </c>
      <c r="C242" s="1">
        <v>85</v>
      </c>
      <c r="D242" s="2">
        <v>60000</v>
      </c>
      <c r="E242" s="2">
        <v>2620</v>
      </c>
      <c r="F242" s="3" t="s">
        <v>56</v>
      </c>
      <c r="G242" s="3" t="s">
        <v>520</v>
      </c>
      <c r="H242" s="44">
        <v>240</v>
      </c>
    </row>
    <row r="243" spans="1:8" x14ac:dyDescent="0.35">
      <c r="A243" s="5">
        <v>42736</v>
      </c>
      <c r="B243" s="1">
        <v>30</v>
      </c>
      <c r="C243" s="1">
        <v>85</v>
      </c>
      <c r="D243" s="2">
        <v>80000</v>
      </c>
      <c r="E243" s="2">
        <v>3001</v>
      </c>
      <c r="F243" s="3" t="s">
        <v>56</v>
      </c>
      <c r="G243" s="3" t="s">
        <v>621</v>
      </c>
      <c r="H243" s="44">
        <v>241</v>
      </c>
    </row>
    <row r="244" spans="1:8" x14ac:dyDescent="0.35">
      <c r="A244" s="5">
        <v>42736</v>
      </c>
      <c r="B244" s="1">
        <v>30</v>
      </c>
      <c r="C244" s="1">
        <v>85</v>
      </c>
      <c r="D244" s="2">
        <v>100000</v>
      </c>
      <c r="E244" s="2">
        <v>3311</v>
      </c>
      <c r="F244" s="3" t="s">
        <v>56</v>
      </c>
      <c r="G244" s="3" t="s">
        <v>71</v>
      </c>
      <c r="H244" s="44">
        <v>242</v>
      </c>
    </row>
    <row r="245" spans="1:8" x14ac:dyDescent="0.35">
      <c r="A245" s="5">
        <v>42736</v>
      </c>
      <c r="B245" s="1">
        <v>30</v>
      </c>
      <c r="C245" s="1">
        <v>85</v>
      </c>
      <c r="D245" s="2">
        <v>120000</v>
      </c>
      <c r="E245" s="2">
        <v>3621</v>
      </c>
      <c r="F245" s="3" t="s">
        <v>56</v>
      </c>
      <c r="G245" s="3" t="s">
        <v>28</v>
      </c>
      <c r="H245" s="44">
        <v>243</v>
      </c>
    </row>
    <row r="246" spans="1:8" x14ac:dyDescent="0.35">
      <c r="A246" s="5">
        <v>42736</v>
      </c>
      <c r="B246" s="1">
        <v>30</v>
      </c>
      <c r="C246" s="1">
        <v>85</v>
      </c>
      <c r="D246" s="2">
        <v>127200</v>
      </c>
      <c r="E246" s="2">
        <v>3732</v>
      </c>
      <c r="F246" s="3" t="s">
        <v>56</v>
      </c>
      <c r="G246" s="3" t="s">
        <v>123</v>
      </c>
      <c r="H246" s="44">
        <v>244</v>
      </c>
    </row>
    <row r="247" spans="1:8" x14ac:dyDescent="0.35">
      <c r="A247" s="5">
        <v>42736</v>
      </c>
      <c r="B247" s="1">
        <v>35</v>
      </c>
      <c r="C247" s="1">
        <v>62</v>
      </c>
      <c r="D247" s="2">
        <v>20000</v>
      </c>
      <c r="E247" s="2">
        <v>724</v>
      </c>
      <c r="F247" s="3" t="s">
        <v>56</v>
      </c>
      <c r="G247" s="3" t="s">
        <v>497</v>
      </c>
      <c r="H247" s="44">
        <v>245</v>
      </c>
    </row>
    <row r="248" spans="1:8" x14ac:dyDescent="0.35">
      <c r="A248" s="5">
        <v>42736</v>
      </c>
      <c r="B248" s="1">
        <v>35</v>
      </c>
      <c r="C248" s="1">
        <v>62</v>
      </c>
      <c r="D248" s="2">
        <v>40000</v>
      </c>
      <c r="E248" s="2">
        <v>1093</v>
      </c>
      <c r="F248" s="3" t="s">
        <v>56</v>
      </c>
      <c r="G248" s="3" t="s">
        <v>81</v>
      </c>
      <c r="H248" s="44">
        <v>246</v>
      </c>
    </row>
    <row r="249" spans="1:8" x14ac:dyDescent="0.35">
      <c r="A249" s="5">
        <v>42736</v>
      </c>
      <c r="B249" s="1">
        <v>35</v>
      </c>
      <c r="C249" s="1">
        <v>62</v>
      </c>
      <c r="D249" s="2">
        <v>60000</v>
      </c>
      <c r="E249" s="2">
        <v>1458</v>
      </c>
      <c r="F249" s="3" t="s">
        <v>56</v>
      </c>
      <c r="G249" s="3" t="s">
        <v>248</v>
      </c>
      <c r="H249" s="44">
        <v>247</v>
      </c>
    </row>
    <row r="250" spans="1:8" x14ac:dyDescent="0.35">
      <c r="A250" s="5">
        <v>42736</v>
      </c>
      <c r="B250" s="1">
        <v>35</v>
      </c>
      <c r="C250" s="1">
        <v>62</v>
      </c>
      <c r="D250" s="2">
        <v>80000</v>
      </c>
      <c r="E250" s="2">
        <v>1690</v>
      </c>
      <c r="F250" s="3" t="s">
        <v>56</v>
      </c>
      <c r="G250" s="3" t="s">
        <v>665</v>
      </c>
      <c r="H250" s="44">
        <v>248</v>
      </c>
    </row>
    <row r="251" spans="1:8" x14ac:dyDescent="0.35">
      <c r="A251" s="5">
        <v>42736</v>
      </c>
      <c r="B251" s="1">
        <v>35</v>
      </c>
      <c r="C251" s="1">
        <v>62</v>
      </c>
      <c r="D251" s="2">
        <v>100000</v>
      </c>
      <c r="E251" s="2">
        <v>1861</v>
      </c>
      <c r="F251" s="3" t="s">
        <v>56</v>
      </c>
      <c r="G251" s="3" t="s">
        <v>141</v>
      </c>
      <c r="H251" s="44">
        <v>249</v>
      </c>
    </row>
    <row r="252" spans="1:8" x14ac:dyDescent="0.35">
      <c r="A252" s="5">
        <v>42736</v>
      </c>
      <c r="B252" s="1">
        <v>35</v>
      </c>
      <c r="C252" s="1">
        <v>62</v>
      </c>
      <c r="D252" s="2">
        <v>120000</v>
      </c>
      <c r="E252" s="2">
        <v>2032</v>
      </c>
      <c r="F252" s="3" t="s">
        <v>56</v>
      </c>
      <c r="G252" s="3" t="s">
        <v>278</v>
      </c>
      <c r="H252" s="44">
        <v>250</v>
      </c>
    </row>
    <row r="253" spans="1:8" x14ac:dyDescent="0.35">
      <c r="A253" s="5">
        <v>42736</v>
      </c>
      <c r="B253" s="1">
        <v>35</v>
      </c>
      <c r="C253" s="1">
        <v>62</v>
      </c>
      <c r="D253" s="2">
        <v>127200</v>
      </c>
      <c r="E253" s="2">
        <v>2094</v>
      </c>
      <c r="F253" s="3" t="s">
        <v>56</v>
      </c>
      <c r="G253" s="3" t="s">
        <v>660</v>
      </c>
      <c r="H253" s="44">
        <v>251</v>
      </c>
    </row>
    <row r="254" spans="1:8" x14ac:dyDescent="0.35">
      <c r="A254" s="5">
        <v>42736</v>
      </c>
      <c r="B254" s="1">
        <v>35</v>
      </c>
      <c r="C254" s="1">
        <v>65</v>
      </c>
      <c r="D254" s="2">
        <v>20000</v>
      </c>
      <c r="E254" s="2">
        <v>904</v>
      </c>
      <c r="F254" s="3" t="s">
        <v>56</v>
      </c>
      <c r="G254" s="3" t="s">
        <v>435</v>
      </c>
      <c r="H254" s="44">
        <v>252</v>
      </c>
    </row>
    <row r="255" spans="1:8" x14ac:dyDescent="0.35">
      <c r="A255" s="5">
        <v>42736</v>
      </c>
      <c r="B255" s="1">
        <v>35</v>
      </c>
      <c r="C255" s="1">
        <v>65</v>
      </c>
      <c r="D255" s="2">
        <v>40000</v>
      </c>
      <c r="E255" s="2">
        <v>1370</v>
      </c>
      <c r="F255" s="3" t="s">
        <v>56</v>
      </c>
      <c r="G255" s="3" t="s">
        <v>79</v>
      </c>
      <c r="H255" s="44">
        <v>253</v>
      </c>
    </row>
    <row r="256" spans="1:8" x14ac:dyDescent="0.35">
      <c r="A256" s="5">
        <v>42736</v>
      </c>
      <c r="B256" s="1">
        <v>35</v>
      </c>
      <c r="C256" s="1">
        <v>65</v>
      </c>
      <c r="D256" s="2">
        <v>60000</v>
      </c>
      <c r="E256" s="2">
        <v>1830</v>
      </c>
      <c r="F256" s="3" t="s">
        <v>56</v>
      </c>
      <c r="G256" s="3" t="s">
        <v>542</v>
      </c>
      <c r="H256" s="44">
        <v>254</v>
      </c>
    </row>
    <row r="257" spans="1:8" x14ac:dyDescent="0.35">
      <c r="A257" s="5">
        <v>42736</v>
      </c>
      <c r="B257" s="1">
        <v>35</v>
      </c>
      <c r="C257" s="1">
        <v>65</v>
      </c>
      <c r="D257" s="2">
        <v>80000</v>
      </c>
      <c r="E257" s="2">
        <v>2109</v>
      </c>
      <c r="F257" s="3" t="s">
        <v>56</v>
      </c>
      <c r="G257" s="3" t="s">
        <v>46</v>
      </c>
      <c r="H257" s="44">
        <v>255</v>
      </c>
    </row>
    <row r="258" spans="1:8" x14ac:dyDescent="0.35">
      <c r="A258" s="5">
        <v>42736</v>
      </c>
      <c r="B258" s="1">
        <v>35</v>
      </c>
      <c r="C258" s="1">
        <v>65</v>
      </c>
      <c r="D258" s="2">
        <v>100000</v>
      </c>
      <c r="E258" s="2">
        <v>2325</v>
      </c>
      <c r="F258" s="3" t="s">
        <v>56</v>
      </c>
      <c r="G258" s="3" t="s">
        <v>577</v>
      </c>
      <c r="H258" s="44">
        <v>256</v>
      </c>
    </row>
    <row r="259" spans="1:8" x14ac:dyDescent="0.35">
      <c r="A259" s="5">
        <v>42736</v>
      </c>
      <c r="B259" s="1">
        <v>35</v>
      </c>
      <c r="C259" s="1">
        <v>65</v>
      </c>
      <c r="D259" s="2">
        <v>120000</v>
      </c>
      <c r="E259" s="2">
        <v>2540</v>
      </c>
      <c r="F259" s="3" t="s">
        <v>56</v>
      </c>
      <c r="G259" s="3" t="s">
        <v>429</v>
      </c>
      <c r="H259" s="44">
        <v>257</v>
      </c>
    </row>
    <row r="260" spans="1:8" x14ac:dyDescent="0.35">
      <c r="A260" s="5">
        <v>42736</v>
      </c>
      <c r="B260" s="1">
        <v>35</v>
      </c>
      <c r="C260" s="1">
        <v>65</v>
      </c>
      <c r="D260" s="2">
        <v>127200</v>
      </c>
      <c r="E260" s="2">
        <v>2618</v>
      </c>
      <c r="F260" s="3" t="s">
        <v>56</v>
      </c>
      <c r="G260" s="3" t="s">
        <v>300</v>
      </c>
      <c r="H260" s="44">
        <v>258</v>
      </c>
    </row>
    <row r="261" spans="1:8" x14ac:dyDescent="0.35">
      <c r="A261" s="5">
        <v>42736</v>
      </c>
      <c r="B261" s="1">
        <v>35</v>
      </c>
      <c r="C261" s="1">
        <v>67</v>
      </c>
      <c r="D261" s="2">
        <v>20000</v>
      </c>
      <c r="E261" s="2">
        <v>1048</v>
      </c>
      <c r="F261" s="3" t="s">
        <v>56</v>
      </c>
      <c r="G261" s="3" t="s">
        <v>449</v>
      </c>
      <c r="H261" s="44">
        <v>259</v>
      </c>
    </row>
    <row r="262" spans="1:8" x14ac:dyDescent="0.35">
      <c r="A262" s="5">
        <v>42736</v>
      </c>
      <c r="B262" s="1">
        <v>35</v>
      </c>
      <c r="C262" s="1">
        <v>67</v>
      </c>
      <c r="D262" s="2">
        <v>40000</v>
      </c>
      <c r="E262" s="2">
        <v>1591</v>
      </c>
      <c r="F262" s="3" t="s">
        <v>56</v>
      </c>
      <c r="G262" s="3" t="s">
        <v>134</v>
      </c>
      <c r="H262" s="44">
        <v>260</v>
      </c>
    </row>
    <row r="263" spans="1:8" x14ac:dyDescent="0.35">
      <c r="A263" s="5">
        <v>42736</v>
      </c>
      <c r="B263" s="1">
        <v>35</v>
      </c>
      <c r="C263" s="1">
        <v>67</v>
      </c>
      <c r="D263" s="2">
        <v>60000</v>
      </c>
      <c r="E263" s="2">
        <v>2127</v>
      </c>
      <c r="F263" s="3" t="s">
        <v>56</v>
      </c>
      <c r="G263" s="3" t="s">
        <v>74</v>
      </c>
      <c r="H263" s="44">
        <v>261</v>
      </c>
    </row>
    <row r="264" spans="1:8" x14ac:dyDescent="0.35">
      <c r="A264" s="5">
        <v>42736</v>
      </c>
      <c r="B264" s="1">
        <v>35</v>
      </c>
      <c r="C264" s="1">
        <v>67</v>
      </c>
      <c r="D264" s="2">
        <v>80000</v>
      </c>
      <c r="E264" s="2">
        <v>2443</v>
      </c>
      <c r="F264" s="3" t="s">
        <v>56</v>
      </c>
      <c r="G264" s="3" t="s">
        <v>359</v>
      </c>
      <c r="H264" s="44">
        <v>262</v>
      </c>
    </row>
    <row r="265" spans="1:8" x14ac:dyDescent="0.35">
      <c r="A265" s="5">
        <v>42736</v>
      </c>
      <c r="B265" s="1">
        <v>35</v>
      </c>
      <c r="C265" s="1">
        <v>67</v>
      </c>
      <c r="D265" s="2">
        <v>100000</v>
      </c>
      <c r="E265" s="2">
        <v>2695</v>
      </c>
      <c r="F265" s="3" t="s">
        <v>56</v>
      </c>
      <c r="G265" s="3" t="s">
        <v>200</v>
      </c>
      <c r="H265" s="44">
        <v>263</v>
      </c>
    </row>
    <row r="266" spans="1:8" x14ac:dyDescent="0.35">
      <c r="A266" s="5">
        <v>42736</v>
      </c>
      <c r="B266" s="1">
        <v>35</v>
      </c>
      <c r="C266" s="1">
        <v>67</v>
      </c>
      <c r="D266" s="2">
        <v>120000</v>
      </c>
      <c r="E266" s="2">
        <v>2946</v>
      </c>
      <c r="F266" s="3" t="s">
        <v>56</v>
      </c>
      <c r="G266" s="3" t="s">
        <v>480</v>
      </c>
      <c r="H266" s="44">
        <v>264</v>
      </c>
    </row>
    <row r="267" spans="1:8" x14ac:dyDescent="0.35">
      <c r="A267" s="5">
        <v>42736</v>
      </c>
      <c r="B267" s="1">
        <v>35</v>
      </c>
      <c r="C267" s="1">
        <v>67</v>
      </c>
      <c r="D267" s="2">
        <v>127200</v>
      </c>
      <c r="E267" s="2">
        <v>3036</v>
      </c>
      <c r="F267" s="3" t="s">
        <v>56</v>
      </c>
      <c r="G267" s="3" t="s">
        <v>164</v>
      </c>
      <c r="H267" s="44">
        <v>265</v>
      </c>
    </row>
    <row r="268" spans="1:8" x14ac:dyDescent="0.35">
      <c r="A268" s="5">
        <v>42736</v>
      </c>
      <c r="B268" s="1">
        <v>35</v>
      </c>
      <c r="C268" s="1">
        <v>70</v>
      </c>
      <c r="D268" s="2">
        <v>20000</v>
      </c>
      <c r="E268" s="2">
        <v>1297</v>
      </c>
      <c r="F268" s="3" t="s">
        <v>56</v>
      </c>
      <c r="G268" s="3" t="s">
        <v>6</v>
      </c>
      <c r="H268" s="44">
        <v>266</v>
      </c>
    </row>
    <row r="269" spans="1:8" x14ac:dyDescent="0.35">
      <c r="A269" s="5">
        <v>42736</v>
      </c>
      <c r="B269" s="1">
        <v>35</v>
      </c>
      <c r="C269" s="1">
        <v>70</v>
      </c>
      <c r="D269" s="2">
        <v>40000</v>
      </c>
      <c r="E269" s="2">
        <v>1958</v>
      </c>
      <c r="F269" s="3" t="s">
        <v>56</v>
      </c>
      <c r="G269" s="3" t="s">
        <v>654</v>
      </c>
      <c r="H269" s="44">
        <v>267</v>
      </c>
    </row>
    <row r="270" spans="1:8" x14ac:dyDescent="0.35">
      <c r="A270" s="5">
        <v>42736</v>
      </c>
      <c r="B270" s="1">
        <v>35</v>
      </c>
      <c r="C270" s="1">
        <v>70</v>
      </c>
      <c r="D270" s="2">
        <v>60000</v>
      </c>
      <c r="E270" s="2">
        <v>2620</v>
      </c>
      <c r="F270" s="3" t="s">
        <v>56</v>
      </c>
      <c r="G270" s="3" t="s">
        <v>760</v>
      </c>
      <c r="H270" s="44">
        <v>268</v>
      </c>
    </row>
    <row r="271" spans="1:8" x14ac:dyDescent="0.35">
      <c r="A271" s="5">
        <v>42736</v>
      </c>
      <c r="B271" s="1">
        <v>35</v>
      </c>
      <c r="C271" s="1">
        <v>70</v>
      </c>
      <c r="D271" s="2">
        <v>80000</v>
      </c>
      <c r="E271" s="2">
        <v>3001</v>
      </c>
      <c r="F271" s="3" t="s">
        <v>56</v>
      </c>
      <c r="G271" s="3" t="s">
        <v>368</v>
      </c>
      <c r="H271" s="44">
        <v>269</v>
      </c>
    </row>
    <row r="272" spans="1:8" x14ac:dyDescent="0.35">
      <c r="A272" s="5">
        <v>42736</v>
      </c>
      <c r="B272" s="1">
        <v>35</v>
      </c>
      <c r="C272" s="1">
        <v>70</v>
      </c>
      <c r="D272" s="2">
        <v>100000</v>
      </c>
      <c r="E272" s="2">
        <v>3311</v>
      </c>
      <c r="F272" s="3" t="s">
        <v>56</v>
      </c>
      <c r="G272" s="3" t="s">
        <v>120</v>
      </c>
      <c r="H272" s="44">
        <v>270</v>
      </c>
    </row>
    <row r="273" spans="1:8" x14ac:dyDescent="0.35">
      <c r="A273" s="5">
        <v>42736</v>
      </c>
      <c r="B273" s="1">
        <v>35</v>
      </c>
      <c r="C273" s="1">
        <v>70</v>
      </c>
      <c r="D273" s="2">
        <v>120000</v>
      </c>
      <c r="E273" s="2">
        <v>3621</v>
      </c>
      <c r="F273" s="3" t="s">
        <v>56</v>
      </c>
      <c r="G273" s="3" t="s">
        <v>240</v>
      </c>
      <c r="H273" s="44">
        <v>271</v>
      </c>
    </row>
    <row r="274" spans="1:8" x14ac:dyDescent="0.35">
      <c r="A274" s="5">
        <v>42736</v>
      </c>
      <c r="B274" s="1">
        <v>35</v>
      </c>
      <c r="C274" s="1">
        <v>70</v>
      </c>
      <c r="D274" s="2">
        <v>127200</v>
      </c>
      <c r="E274" s="2">
        <v>3732</v>
      </c>
      <c r="F274" s="3" t="s">
        <v>56</v>
      </c>
      <c r="G274" s="3" t="s">
        <v>230</v>
      </c>
      <c r="H274" s="44">
        <v>272</v>
      </c>
    </row>
    <row r="275" spans="1:8" x14ac:dyDescent="0.35">
      <c r="A275" s="5">
        <v>42736</v>
      </c>
      <c r="B275" s="1">
        <v>35</v>
      </c>
      <c r="C275" s="1">
        <v>75</v>
      </c>
      <c r="D275" s="2">
        <v>20000</v>
      </c>
      <c r="E275" s="2">
        <v>1297</v>
      </c>
      <c r="F275" s="3" t="s">
        <v>56</v>
      </c>
      <c r="G275" s="3" t="s">
        <v>782</v>
      </c>
      <c r="H275" s="44">
        <v>273</v>
      </c>
    </row>
    <row r="276" spans="1:8" x14ac:dyDescent="0.35">
      <c r="A276" s="5">
        <v>42736</v>
      </c>
      <c r="B276" s="1">
        <v>35</v>
      </c>
      <c r="C276" s="1">
        <v>75</v>
      </c>
      <c r="D276" s="2">
        <v>40000</v>
      </c>
      <c r="E276" s="2">
        <v>1958</v>
      </c>
      <c r="F276" s="3" t="s">
        <v>56</v>
      </c>
      <c r="G276" s="3" t="s">
        <v>362</v>
      </c>
      <c r="H276" s="44">
        <v>274</v>
      </c>
    </row>
    <row r="277" spans="1:8" x14ac:dyDescent="0.35">
      <c r="A277" s="5">
        <v>42736</v>
      </c>
      <c r="B277" s="1">
        <v>35</v>
      </c>
      <c r="C277" s="1">
        <v>75</v>
      </c>
      <c r="D277" s="2">
        <v>60000</v>
      </c>
      <c r="E277" s="2">
        <v>2620</v>
      </c>
      <c r="F277" s="3" t="s">
        <v>56</v>
      </c>
      <c r="G277" s="3" t="s">
        <v>132</v>
      </c>
      <c r="H277" s="44">
        <v>275</v>
      </c>
    </row>
    <row r="278" spans="1:8" x14ac:dyDescent="0.35">
      <c r="A278" s="5">
        <v>42736</v>
      </c>
      <c r="B278" s="1">
        <v>35</v>
      </c>
      <c r="C278" s="1">
        <v>75</v>
      </c>
      <c r="D278" s="2">
        <v>80000</v>
      </c>
      <c r="E278" s="2">
        <v>3001</v>
      </c>
      <c r="F278" s="3" t="s">
        <v>56</v>
      </c>
      <c r="G278" s="3" t="s">
        <v>347</v>
      </c>
      <c r="H278" s="44">
        <v>276</v>
      </c>
    </row>
    <row r="279" spans="1:8" x14ac:dyDescent="0.35">
      <c r="A279" s="5">
        <v>42736</v>
      </c>
      <c r="B279" s="1">
        <v>35</v>
      </c>
      <c r="C279" s="1">
        <v>75</v>
      </c>
      <c r="D279" s="2">
        <v>100000</v>
      </c>
      <c r="E279" s="2">
        <v>3311</v>
      </c>
      <c r="F279" s="3" t="s">
        <v>56</v>
      </c>
      <c r="G279" s="3" t="s">
        <v>440</v>
      </c>
      <c r="H279" s="44">
        <v>277</v>
      </c>
    </row>
    <row r="280" spans="1:8" x14ac:dyDescent="0.35">
      <c r="A280" s="5">
        <v>42736</v>
      </c>
      <c r="B280" s="1">
        <v>35</v>
      </c>
      <c r="C280" s="1">
        <v>75</v>
      </c>
      <c r="D280" s="2">
        <v>120000</v>
      </c>
      <c r="E280" s="2">
        <v>3621</v>
      </c>
      <c r="F280" s="3" t="s">
        <v>56</v>
      </c>
      <c r="G280" s="3" t="s">
        <v>358</v>
      </c>
      <c r="H280" s="44">
        <v>278</v>
      </c>
    </row>
    <row r="281" spans="1:8" x14ac:dyDescent="0.35">
      <c r="A281" s="5">
        <v>42736</v>
      </c>
      <c r="B281" s="1">
        <v>35</v>
      </c>
      <c r="C281" s="1">
        <v>75</v>
      </c>
      <c r="D281" s="2">
        <v>127200</v>
      </c>
      <c r="E281" s="2">
        <v>3732</v>
      </c>
      <c r="F281" s="3" t="s">
        <v>56</v>
      </c>
      <c r="G281" s="3" t="s">
        <v>167</v>
      </c>
      <c r="H281" s="44">
        <v>279</v>
      </c>
    </row>
    <row r="282" spans="1:8" x14ac:dyDescent="0.35">
      <c r="A282" s="5">
        <v>42736</v>
      </c>
      <c r="B282" s="1">
        <v>35</v>
      </c>
      <c r="C282" s="1">
        <v>80</v>
      </c>
      <c r="D282" s="2">
        <v>20000</v>
      </c>
      <c r="E282" s="2">
        <v>1297</v>
      </c>
      <c r="F282" s="3" t="s">
        <v>56</v>
      </c>
      <c r="G282" s="3" t="s">
        <v>191</v>
      </c>
      <c r="H282" s="44">
        <v>280</v>
      </c>
    </row>
    <row r="283" spans="1:8" x14ac:dyDescent="0.35">
      <c r="A283" s="5">
        <v>42736</v>
      </c>
      <c r="B283" s="1">
        <v>35</v>
      </c>
      <c r="C283" s="1">
        <v>80</v>
      </c>
      <c r="D283" s="2">
        <v>40000</v>
      </c>
      <c r="E283" s="2">
        <v>1958</v>
      </c>
      <c r="F283" s="3" t="s">
        <v>56</v>
      </c>
      <c r="G283" s="3" t="s">
        <v>448</v>
      </c>
      <c r="H283" s="44">
        <v>281</v>
      </c>
    </row>
    <row r="284" spans="1:8" x14ac:dyDescent="0.35">
      <c r="A284" s="5">
        <v>42736</v>
      </c>
      <c r="B284" s="1">
        <v>35</v>
      </c>
      <c r="C284" s="1">
        <v>80</v>
      </c>
      <c r="D284" s="2">
        <v>60000</v>
      </c>
      <c r="E284" s="2">
        <v>2620</v>
      </c>
      <c r="F284" s="3" t="s">
        <v>56</v>
      </c>
      <c r="G284" s="3" t="s">
        <v>616</v>
      </c>
      <c r="H284" s="44">
        <v>282</v>
      </c>
    </row>
    <row r="285" spans="1:8" x14ac:dyDescent="0.35">
      <c r="A285" s="5">
        <v>42736</v>
      </c>
      <c r="B285" s="1">
        <v>35</v>
      </c>
      <c r="C285" s="1">
        <v>80</v>
      </c>
      <c r="D285" s="2">
        <v>80000</v>
      </c>
      <c r="E285" s="2">
        <v>3001</v>
      </c>
      <c r="F285" s="3" t="s">
        <v>56</v>
      </c>
      <c r="G285" s="3" t="s">
        <v>425</v>
      </c>
      <c r="H285" s="44">
        <v>283</v>
      </c>
    </row>
    <row r="286" spans="1:8" x14ac:dyDescent="0.35">
      <c r="A286" s="5">
        <v>42736</v>
      </c>
      <c r="B286" s="1">
        <v>35</v>
      </c>
      <c r="C286" s="1">
        <v>80</v>
      </c>
      <c r="D286" s="2">
        <v>100000</v>
      </c>
      <c r="E286" s="2">
        <v>3311</v>
      </c>
      <c r="F286" s="3" t="s">
        <v>56</v>
      </c>
      <c r="G286" s="3" t="s">
        <v>673</v>
      </c>
      <c r="H286" s="44">
        <v>284</v>
      </c>
    </row>
    <row r="287" spans="1:8" x14ac:dyDescent="0.35">
      <c r="A287" s="5">
        <v>42736</v>
      </c>
      <c r="B287" s="1">
        <v>35</v>
      </c>
      <c r="C287" s="1">
        <v>80</v>
      </c>
      <c r="D287" s="2">
        <v>120000</v>
      </c>
      <c r="E287" s="2">
        <v>3621</v>
      </c>
      <c r="F287" s="3" t="s">
        <v>56</v>
      </c>
      <c r="G287" s="3" t="s">
        <v>218</v>
      </c>
      <c r="H287" s="44">
        <v>285</v>
      </c>
    </row>
    <row r="288" spans="1:8" x14ac:dyDescent="0.35">
      <c r="A288" s="5">
        <v>42736</v>
      </c>
      <c r="B288" s="1">
        <v>35</v>
      </c>
      <c r="C288" s="1">
        <v>80</v>
      </c>
      <c r="D288" s="2">
        <v>127200</v>
      </c>
      <c r="E288" s="2">
        <v>3732</v>
      </c>
      <c r="F288" s="3" t="s">
        <v>56</v>
      </c>
      <c r="G288" s="3" t="s">
        <v>454</v>
      </c>
      <c r="H288" s="44">
        <v>286</v>
      </c>
    </row>
    <row r="289" spans="1:8" x14ac:dyDescent="0.35">
      <c r="A289" s="5">
        <v>42736</v>
      </c>
      <c r="B289" s="1">
        <v>35</v>
      </c>
      <c r="C289" s="1">
        <v>85</v>
      </c>
      <c r="D289" s="2">
        <v>20000</v>
      </c>
      <c r="E289" s="2">
        <v>1297</v>
      </c>
      <c r="F289" s="3" t="s">
        <v>56</v>
      </c>
      <c r="G289" s="3" t="s">
        <v>537</v>
      </c>
      <c r="H289" s="44">
        <v>287</v>
      </c>
    </row>
    <row r="290" spans="1:8" x14ac:dyDescent="0.35">
      <c r="A290" s="5">
        <v>42736</v>
      </c>
      <c r="B290" s="1">
        <v>35</v>
      </c>
      <c r="C290" s="1">
        <v>85</v>
      </c>
      <c r="D290" s="2">
        <v>40000</v>
      </c>
      <c r="E290" s="2">
        <v>1958</v>
      </c>
      <c r="F290" s="3" t="s">
        <v>56</v>
      </c>
      <c r="G290" s="3" t="s">
        <v>553</v>
      </c>
      <c r="H290" s="44">
        <v>288</v>
      </c>
    </row>
    <row r="291" spans="1:8" x14ac:dyDescent="0.35">
      <c r="A291" s="5">
        <v>42736</v>
      </c>
      <c r="B291" s="1">
        <v>35</v>
      </c>
      <c r="C291" s="1">
        <v>85</v>
      </c>
      <c r="D291" s="2">
        <v>60000</v>
      </c>
      <c r="E291" s="2">
        <v>2620</v>
      </c>
      <c r="F291" s="3" t="s">
        <v>56</v>
      </c>
      <c r="G291" s="3" t="s">
        <v>714</v>
      </c>
      <c r="H291" s="44">
        <v>289</v>
      </c>
    </row>
    <row r="292" spans="1:8" x14ac:dyDescent="0.35">
      <c r="A292" s="5">
        <v>42736</v>
      </c>
      <c r="B292" s="1">
        <v>35</v>
      </c>
      <c r="C292" s="1">
        <v>85</v>
      </c>
      <c r="D292" s="2">
        <v>80000</v>
      </c>
      <c r="E292" s="2">
        <v>3001</v>
      </c>
      <c r="F292" s="3" t="s">
        <v>56</v>
      </c>
      <c r="G292" s="3" t="s">
        <v>239</v>
      </c>
      <c r="H292" s="44">
        <v>290</v>
      </c>
    </row>
    <row r="293" spans="1:8" x14ac:dyDescent="0.35">
      <c r="A293" s="5">
        <v>42736</v>
      </c>
      <c r="B293" s="1">
        <v>35</v>
      </c>
      <c r="C293" s="1">
        <v>85</v>
      </c>
      <c r="D293" s="2">
        <v>100000</v>
      </c>
      <c r="E293" s="2">
        <v>3311</v>
      </c>
      <c r="F293" s="3" t="s">
        <v>56</v>
      </c>
      <c r="G293" s="3" t="s">
        <v>451</v>
      </c>
      <c r="H293" s="44">
        <v>291</v>
      </c>
    </row>
    <row r="294" spans="1:8" x14ac:dyDescent="0.35">
      <c r="A294" s="5">
        <v>42736</v>
      </c>
      <c r="B294" s="1">
        <v>35</v>
      </c>
      <c r="C294" s="1">
        <v>85</v>
      </c>
      <c r="D294" s="2">
        <v>120000</v>
      </c>
      <c r="E294" s="2">
        <v>3621</v>
      </c>
      <c r="F294" s="3" t="s">
        <v>56</v>
      </c>
      <c r="G294" s="3" t="s">
        <v>788</v>
      </c>
      <c r="H294" s="44">
        <v>292</v>
      </c>
    </row>
    <row r="295" spans="1:8" x14ac:dyDescent="0.35">
      <c r="A295" s="5">
        <v>42736</v>
      </c>
      <c r="B295" s="1">
        <v>35</v>
      </c>
      <c r="C295" s="1">
        <v>85</v>
      </c>
      <c r="D295" s="2">
        <v>127200</v>
      </c>
      <c r="E295" s="2">
        <v>3732</v>
      </c>
      <c r="F295" s="3" t="s">
        <v>56</v>
      </c>
      <c r="G295" s="3" t="s">
        <v>702</v>
      </c>
      <c r="H295" s="44">
        <v>293</v>
      </c>
    </row>
    <row r="296" spans="1:8" x14ac:dyDescent="0.35">
      <c r="A296" s="5">
        <v>42736</v>
      </c>
      <c r="B296" s="1">
        <v>40</v>
      </c>
      <c r="C296" s="1">
        <v>62</v>
      </c>
      <c r="D296" s="2">
        <v>20000</v>
      </c>
      <c r="E296" s="2">
        <v>710</v>
      </c>
      <c r="F296" s="3" t="s">
        <v>56</v>
      </c>
      <c r="G296" s="3" t="s">
        <v>72</v>
      </c>
      <c r="H296" s="44">
        <v>294</v>
      </c>
    </row>
    <row r="297" spans="1:8" x14ac:dyDescent="0.35">
      <c r="A297" s="5">
        <v>42736</v>
      </c>
      <c r="B297" s="1">
        <v>40</v>
      </c>
      <c r="C297" s="1">
        <v>62</v>
      </c>
      <c r="D297" s="2">
        <v>40000</v>
      </c>
      <c r="E297" s="2">
        <v>1066</v>
      </c>
      <c r="F297" s="3" t="s">
        <v>56</v>
      </c>
      <c r="G297" s="3" t="s">
        <v>201</v>
      </c>
      <c r="H297" s="44">
        <v>295</v>
      </c>
    </row>
    <row r="298" spans="1:8" x14ac:dyDescent="0.35">
      <c r="A298" s="5">
        <v>42736</v>
      </c>
      <c r="B298" s="1">
        <v>40</v>
      </c>
      <c r="C298" s="1">
        <v>62</v>
      </c>
      <c r="D298" s="2">
        <v>60000</v>
      </c>
      <c r="E298" s="2">
        <v>1417</v>
      </c>
      <c r="F298" s="3" t="s">
        <v>56</v>
      </c>
      <c r="G298" s="3" t="s">
        <v>188</v>
      </c>
      <c r="H298" s="44">
        <v>296</v>
      </c>
    </row>
    <row r="299" spans="1:8" x14ac:dyDescent="0.35">
      <c r="A299" s="5">
        <v>42736</v>
      </c>
      <c r="B299" s="1">
        <v>40</v>
      </c>
      <c r="C299" s="1">
        <v>62</v>
      </c>
      <c r="D299" s="2">
        <v>80000</v>
      </c>
      <c r="E299" s="2">
        <v>1664</v>
      </c>
      <c r="F299" s="3" t="s">
        <v>56</v>
      </c>
      <c r="G299" s="3" t="s">
        <v>678</v>
      </c>
      <c r="H299" s="44">
        <v>297</v>
      </c>
    </row>
    <row r="300" spans="1:8" x14ac:dyDescent="0.35">
      <c r="A300" s="5">
        <v>42736</v>
      </c>
      <c r="B300" s="1">
        <v>40</v>
      </c>
      <c r="C300" s="1">
        <v>62</v>
      </c>
      <c r="D300" s="2">
        <v>100000</v>
      </c>
      <c r="E300" s="2">
        <v>1829</v>
      </c>
      <c r="F300" s="3" t="s">
        <v>56</v>
      </c>
      <c r="G300" s="3" t="s">
        <v>695</v>
      </c>
      <c r="H300" s="44">
        <v>298</v>
      </c>
    </row>
    <row r="301" spans="1:8" x14ac:dyDescent="0.35">
      <c r="A301" s="5">
        <v>42736</v>
      </c>
      <c r="B301" s="1">
        <v>40</v>
      </c>
      <c r="C301" s="1">
        <v>62</v>
      </c>
      <c r="D301" s="2">
        <v>120000</v>
      </c>
      <c r="E301" s="2">
        <v>1994</v>
      </c>
      <c r="F301" s="3" t="s">
        <v>56</v>
      </c>
      <c r="G301" s="3" t="s">
        <v>488</v>
      </c>
      <c r="H301" s="44">
        <v>299</v>
      </c>
    </row>
    <row r="302" spans="1:8" x14ac:dyDescent="0.35">
      <c r="A302" s="5">
        <v>42736</v>
      </c>
      <c r="B302" s="1">
        <v>40</v>
      </c>
      <c r="C302" s="1">
        <v>62</v>
      </c>
      <c r="D302" s="2">
        <v>127200</v>
      </c>
      <c r="E302" s="2">
        <v>2053</v>
      </c>
      <c r="F302" s="3" t="s">
        <v>56</v>
      </c>
      <c r="G302" s="3" t="s">
        <v>118</v>
      </c>
      <c r="H302" s="44">
        <v>300</v>
      </c>
    </row>
    <row r="303" spans="1:8" x14ac:dyDescent="0.35">
      <c r="A303" s="5">
        <v>42736</v>
      </c>
      <c r="B303" s="1">
        <v>40</v>
      </c>
      <c r="C303" s="1">
        <v>65</v>
      </c>
      <c r="D303" s="2">
        <v>20000</v>
      </c>
      <c r="E303" s="2">
        <v>890</v>
      </c>
      <c r="F303" s="3" t="s">
        <v>56</v>
      </c>
      <c r="G303" s="3" t="s">
        <v>61</v>
      </c>
      <c r="H303" s="44">
        <v>301</v>
      </c>
    </row>
    <row r="304" spans="1:8" x14ac:dyDescent="0.35">
      <c r="A304" s="5">
        <v>42736</v>
      </c>
      <c r="B304" s="1">
        <v>40</v>
      </c>
      <c r="C304" s="1">
        <v>65</v>
      </c>
      <c r="D304" s="2">
        <v>40000</v>
      </c>
      <c r="E304" s="2">
        <v>1342</v>
      </c>
      <c r="F304" s="3" t="s">
        <v>56</v>
      </c>
      <c r="G304" s="3" t="s">
        <v>45</v>
      </c>
      <c r="H304" s="44">
        <v>302</v>
      </c>
    </row>
    <row r="305" spans="1:8" x14ac:dyDescent="0.35">
      <c r="A305" s="5">
        <v>42736</v>
      </c>
      <c r="B305" s="1">
        <v>40</v>
      </c>
      <c r="C305" s="1">
        <v>65</v>
      </c>
      <c r="D305" s="2">
        <v>60000</v>
      </c>
      <c r="E305" s="2">
        <v>1788</v>
      </c>
      <c r="F305" s="3" t="s">
        <v>56</v>
      </c>
      <c r="G305" s="3" t="s">
        <v>172</v>
      </c>
      <c r="H305" s="44">
        <v>303</v>
      </c>
    </row>
    <row r="306" spans="1:8" x14ac:dyDescent="0.35">
      <c r="A306" s="5">
        <v>42736</v>
      </c>
      <c r="B306" s="1">
        <v>40</v>
      </c>
      <c r="C306" s="1">
        <v>65</v>
      </c>
      <c r="D306" s="2">
        <v>80000</v>
      </c>
      <c r="E306" s="2">
        <v>2083</v>
      </c>
      <c r="F306" s="3" t="s">
        <v>56</v>
      </c>
      <c r="G306" s="3" t="s">
        <v>117</v>
      </c>
      <c r="H306" s="44">
        <v>304</v>
      </c>
    </row>
    <row r="307" spans="1:8" x14ac:dyDescent="0.35">
      <c r="A307" s="5">
        <v>42736</v>
      </c>
      <c r="B307" s="1">
        <v>40</v>
      </c>
      <c r="C307" s="1">
        <v>65</v>
      </c>
      <c r="D307" s="2">
        <v>100000</v>
      </c>
      <c r="E307" s="2">
        <v>2292</v>
      </c>
      <c r="F307" s="3" t="s">
        <v>56</v>
      </c>
      <c r="G307" s="3" t="s">
        <v>34</v>
      </c>
      <c r="H307" s="44">
        <v>305</v>
      </c>
    </row>
    <row r="308" spans="1:8" x14ac:dyDescent="0.35">
      <c r="A308" s="5">
        <v>42736</v>
      </c>
      <c r="B308" s="1">
        <v>40</v>
      </c>
      <c r="C308" s="1">
        <v>65</v>
      </c>
      <c r="D308" s="2">
        <v>120000</v>
      </c>
      <c r="E308" s="2">
        <v>2501</v>
      </c>
      <c r="F308" s="3" t="s">
        <v>56</v>
      </c>
      <c r="G308" s="3" t="s">
        <v>242</v>
      </c>
      <c r="H308" s="44">
        <v>306</v>
      </c>
    </row>
    <row r="309" spans="1:8" x14ac:dyDescent="0.35">
      <c r="A309" s="5">
        <v>42736</v>
      </c>
      <c r="B309" s="1">
        <v>40</v>
      </c>
      <c r="C309" s="1">
        <v>65</v>
      </c>
      <c r="D309" s="2">
        <v>127200</v>
      </c>
      <c r="E309" s="2">
        <v>2576</v>
      </c>
      <c r="F309" s="3" t="s">
        <v>56</v>
      </c>
      <c r="G309" s="3" t="s">
        <v>445</v>
      </c>
      <c r="H309" s="44">
        <v>307</v>
      </c>
    </row>
    <row r="310" spans="1:8" x14ac:dyDescent="0.35">
      <c r="A310" s="5">
        <v>42736</v>
      </c>
      <c r="B310" s="1">
        <v>40</v>
      </c>
      <c r="C310" s="1">
        <v>67</v>
      </c>
      <c r="D310" s="2">
        <v>20000</v>
      </c>
      <c r="E310" s="2">
        <v>1035</v>
      </c>
      <c r="F310" s="3" t="s">
        <v>56</v>
      </c>
      <c r="G310" s="3" t="s">
        <v>781</v>
      </c>
      <c r="H310" s="44">
        <v>308</v>
      </c>
    </row>
    <row r="311" spans="1:8" x14ac:dyDescent="0.35">
      <c r="A311" s="5">
        <v>42736</v>
      </c>
      <c r="B311" s="1">
        <v>40</v>
      </c>
      <c r="C311" s="1">
        <v>67</v>
      </c>
      <c r="D311" s="2">
        <v>40000</v>
      </c>
      <c r="E311" s="2">
        <v>1564</v>
      </c>
      <c r="F311" s="3" t="s">
        <v>56</v>
      </c>
      <c r="G311" s="3" t="s">
        <v>394</v>
      </c>
      <c r="H311" s="44">
        <v>309</v>
      </c>
    </row>
    <row r="312" spans="1:8" x14ac:dyDescent="0.35">
      <c r="A312" s="5">
        <v>42736</v>
      </c>
      <c r="B312" s="1">
        <v>40</v>
      </c>
      <c r="C312" s="1">
        <v>67</v>
      </c>
      <c r="D312" s="2">
        <v>60000</v>
      </c>
      <c r="E312" s="2">
        <v>2086</v>
      </c>
      <c r="F312" s="3" t="s">
        <v>56</v>
      </c>
      <c r="G312" s="3" t="s">
        <v>345</v>
      </c>
      <c r="H312" s="44">
        <v>310</v>
      </c>
    </row>
    <row r="313" spans="1:8" x14ac:dyDescent="0.35">
      <c r="A313" s="5">
        <v>42736</v>
      </c>
      <c r="B313" s="1">
        <v>40</v>
      </c>
      <c r="C313" s="1">
        <v>67</v>
      </c>
      <c r="D313" s="2">
        <v>80000</v>
      </c>
      <c r="E313" s="2">
        <v>2418</v>
      </c>
      <c r="F313" s="3" t="s">
        <v>56</v>
      </c>
      <c r="G313" s="3" t="s">
        <v>251</v>
      </c>
      <c r="H313" s="44">
        <v>311</v>
      </c>
    </row>
    <row r="314" spans="1:8" x14ac:dyDescent="0.35">
      <c r="A314" s="5">
        <v>42736</v>
      </c>
      <c r="B314" s="1">
        <v>40</v>
      </c>
      <c r="C314" s="1">
        <v>67</v>
      </c>
      <c r="D314" s="2">
        <v>100000</v>
      </c>
      <c r="E314" s="2">
        <v>2663</v>
      </c>
      <c r="F314" s="3" t="s">
        <v>56</v>
      </c>
      <c r="G314" s="3" t="s">
        <v>100</v>
      </c>
      <c r="H314" s="44">
        <v>312</v>
      </c>
    </row>
    <row r="315" spans="1:8" x14ac:dyDescent="0.35">
      <c r="A315" s="5">
        <v>42736</v>
      </c>
      <c r="B315" s="1">
        <v>40</v>
      </c>
      <c r="C315" s="1">
        <v>67</v>
      </c>
      <c r="D315" s="2">
        <v>120000</v>
      </c>
      <c r="E315" s="2">
        <v>2907</v>
      </c>
      <c r="F315" s="3" t="s">
        <v>56</v>
      </c>
      <c r="G315" s="3" t="s">
        <v>767</v>
      </c>
      <c r="H315" s="44">
        <v>313</v>
      </c>
    </row>
    <row r="316" spans="1:8" x14ac:dyDescent="0.35">
      <c r="A316" s="5">
        <v>42736</v>
      </c>
      <c r="B316" s="1">
        <v>40</v>
      </c>
      <c r="C316" s="1">
        <v>67</v>
      </c>
      <c r="D316" s="2">
        <v>127200</v>
      </c>
      <c r="E316" s="2">
        <v>2995</v>
      </c>
      <c r="F316" s="3" t="s">
        <v>56</v>
      </c>
      <c r="G316" s="3" t="s">
        <v>658</v>
      </c>
      <c r="H316" s="44">
        <v>314</v>
      </c>
    </row>
    <row r="317" spans="1:8" x14ac:dyDescent="0.35">
      <c r="A317" s="5">
        <v>42736</v>
      </c>
      <c r="B317" s="1">
        <v>40</v>
      </c>
      <c r="C317" s="1">
        <v>70</v>
      </c>
      <c r="D317" s="2">
        <v>20000</v>
      </c>
      <c r="E317" s="2">
        <v>1286</v>
      </c>
      <c r="F317" s="3" t="s">
        <v>56</v>
      </c>
      <c r="G317" s="3" t="s">
        <v>524</v>
      </c>
      <c r="H317" s="44">
        <v>315</v>
      </c>
    </row>
    <row r="318" spans="1:8" x14ac:dyDescent="0.35">
      <c r="A318" s="5">
        <v>42736</v>
      </c>
      <c r="B318" s="1">
        <v>40</v>
      </c>
      <c r="C318" s="1">
        <v>70</v>
      </c>
      <c r="D318" s="2">
        <v>40000</v>
      </c>
      <c r="E318" s="2">
        <v>1936</v>
      </c>
      <c r="F318" s="3" t="s">
        <v>56</v>
      </c>
      <c r="G318" s="3" t="s">
        <v>459</v>
      </c>
      <c r="H318" s="44">
        <v>316</v>
      </c>
    </row>
    <row r="319" spans="1:8" x14ac:dyDescent="0.35">
      <c r="A319" s="5">
        <v>42736</v>
      </c>
      <c r="B319" s="1">
        <v>40</v>
      </c>
      <c r="C319" s="1">
        <v>70</v>
      </c>
      <c r="D319" s="2">
        <v>60000</v>
      </c>
      <c r="E319" s="2">
        <v>2585</v>
      </c>
      <c r="F319" s="3" t="s">
        <v>56</v>
      </c>
      <c r="G319" s="3" t="s">
        <v>145</v>
      </c>
      <c r="H319" s="44">
        <v>317</v>
      </c>
    </row>
    <row r="320" spans="1:8" x14ac:dyDescent="0.35">
      <c r="A320" s="5">
        <v>42736</v>
      </c>
      <c r="B320" s="1">
        <v>40</v>
      </c>
      <c r="C320" s="1">
        <v>70</v>
      </c>
      <c r="D320" s="2">
        <v>80000</v>
      </c>
      <c r="E320" s="2">
        <v>2979</v>
      </c>
      <c r="F320" s="3" t="s">
        <v>56</v>
      </c>
      <c r="G320" s="3" t="s">
        <v>155</v>
      </c>
      <c r="H320" s="44">
        <v>318</v>
      </c>
    </row>
    <row r="321" spans="1:8" x14ac:dyDescent="0.35">
      <c r="A321" s="5">
        <v>42736</v>
      </c>
      <c r="B321" s="1">
        <v>40</v>
      </c>
      <c r="C321" s="1">
        <v>70</v>
      </c>
      <c r="D321" s="2">
        <v>100000</v>
      </c>
      <c r="E321" s="2">
        <v>3284</v>
      </c>
      <c r="F321" s="3" t="s">
        <v>56</v>
      </c>
      <c r="G321" s="3" t="s">
        <v>572</v>
      </c>
      <c r="H321" s="44">
        <v>319</v>
      </c>
    </row>
    <row r="322" spans="1:8" x14ac:dyDescent="0.35">
      <c r="A322" s="5">
        <v>42736</v>
      </c>
      <c r="B322" s="1">
        <v>40</v>
      </c>
      <c r="C322" s="1">
        <v>70</v>
      </c>
      <c r="D322" s="2">
        <v>120000</v>
      </c>
      <c r="E322" s="2">
        <v>3589</v>
      </c>
      <c r="F322" s="3" t="s">
        <v>56</v>
      </c>
      <c r="G322" s="3" t="s">
        <v>398</v>
      </c>
      <c r="H322" s="44">
        <v>320</v>
      </c>
    </row>
    <row r="323" spans="1:8" x14ac:dyDescent="0.35">
      <c r="A323" s="5">
        <v>42736</v>
      </c>
      <c r="B323" s="1">
        <v>40</v>
      </c>
      <c r="C323" s="1">
        <v>70</v>
      </c>
      <c r="D323" s="2">
        <v>127200</v>
      </c>
      <c r="E323" s="2">
        <v>3698</v>
      </c>
      <c r="F323" s="3" t="s">
        <v>56</v>
      </c>
      <c r="G323" s="3" t="s">
        <v>613</v>
      </c>
      <c r="H323" s="44">
        <v>321</v>
      </c>
    </row>
    <row r="324" spans="1:8" x14ac:dyDescent="0.35">
      <c r="A324" s="5">
        <v>42736</v>
      </c>
      <c r="B324" s="1">
        <v>40</v>
      </c>
      <c r="C324" s="1">
        <v>75</v>
      </c>
      <c r="D324" s="2">
        <v>20000</v>
      </c>
      <c r="E324" s="2">
        <v>1297</v>
      </c>
      <c r="F324" s="3" t="s">
        <v>56</v>
      </c>
      <c r="G324" s="3" t="s">
        <v>493</v>
      </c>
      <c r="H324" s="44">
        <v>322</v>
      </c>
    </row>
    <row r="325" spans="1:8" x14ac:dyDescent="0.35">
      <c r="A325" s="5">
        <v>42736</v>
      </c>
      <c r="B325" s="1">
        <v>40</v>
      </c>
      <c r="C325" s="1">
        <v>75</v>
      </c>
      <c r="D325" s="2">
        <v>40000</v>
      </c>
      <c r="E325" s="2">
        <v>1958</v>
      </c>
      <c r="F325" s="3" t="s">
        <v>56</v>
      </c>
      <c r="G325" s="3" t="s">
        <v>779</v>
      </c>
      <c r="H325" s="44">
        <v>323</v>
      </c>
    </row>
    <row r="326" spans="1:8" x14ac:dyDescent="0.35">
      <c r="A326" s="5">
        <v>42736</v>
      </c>
      <c r="B326" s="1">
        <v>40</v>
      </c>
      <c r="C326" s="1">
        <v>75</v>
      </c>
      <c r="D326" s="2">
        <v>60000</v>
      </c>
      <c r="E326" s="2">
        <v>2620</v>
      </c>
      <c r="F326" s="3" t="s">
        <v>56</v>
      </c>
      <c r="G326" s="3" t="s">
        <v>403</v>
      </c>
      <c r="H326" s="44">
        <v>324</v>
      </c>
    </row>
    <row r="327" spans="1:8" x14ac:dyDescent="0.35">
      <c r="A327" s="5">
        <v>42736</v>
      </c>
      <c r="B327" s="1">
        <v>40</v>
      </c>
      <c r="C327" s="1">
        <v>75</v>
      </c>
      <c r="D327" s="2">
        <v>80000</v>
      </c>
      <c r="E327" s="2">
        <v>3001</v>
      </c>
      <c r="F327" s="3" t="s">
        <v>56</v>
      </c>
      <c r="G327" s="3" t="s">
        <v>467</v>
      </c>
      <c r="H327" s="44">
        <v>325</v>
      </c>
    </row>
    <row r="328" spans="1:8" x14ac:dyDescent="0.35">
      <c r="A328" s="5">
        <v>42736</v>
      </c>
      <c r="B328" s="1">
        <v>40</v>
      </c>
      <c r="C328" s="1">
        <v>75</v>
      </c>
      <c r="D328" s="2">
        <v>100000</v>
      </c>
      <c r="E328" s="2">
        <v>3311</v>
      </c>
      <c r="F328" s="3" t="s">
        <v>56</v>
      </c>
      <c r="G328" s="3" t="s">
        <v>27</v>
      </c>
      <c r="H328" s="44">
        <v>326</v>
      </c>
    </row>
    <row r="329" spans="1:8" x14ac:dyDescent="0.35">
      <c r="A329" s="5">
        <v>42736</v>
      </c>
      <c r="B329" s="1">
        <v>40</v>
      </c>
      <c r="C329" s="1">
        <v>75</v>
      </c>
      <c r="D329" s="2">
        <v>120000</v>
      </c>
      <c r="E329" s="2">
        <v>3621</v>
      </c>
      <c r="F329" s="3" t="s">
        <v>56</v>
      </c>
      <c r="G329" s="3" t="s">
        <v>502</v>
      </c>
      <c r="H329" s="44">
        <v>327</v>
      </c>
    </row>
    <row r="330" spans="1:8" x14ac:dyDescent="0.35">
      <c r="A330" s="5">
        <v>42736</v>
      </c>
      <c r="B330" s="1">
        <v>40</v>
      </c>
      <c r="C330" s="1">
        <v>75</v>
      </c>
      <c r="D330" s="2">
        <v>127200</v>
      </c>
      <c r="E330" s="2">
        <v>3732</v>
      </c>
      <c r="F330" s="3" t="s">
        <v>56</v>
      </c>
      <c r="G330" s="3" t="s">
        <v>307</v>
      </c>
      <c r="H330" s="44">
        <v>328</v>
      </c>
    </row>
    <row r="331" spans="1:8" x14ac:dyDescent="0.35">
      <c r="A331" s="5">
        <v>42736</v>
      </c>
      <c r="B331" s="1">
        <v>40</v>
      </c>
      <c r="C331" s="1">
        <v>80</v>
      </c>
      <c r="D331" s="2">
        <v>20000</v>
      </c>
      <c r="E331" s="2">
        <v>1297</v>
      </c>
      <c r="F331" s="3" t="s">
        <v>56</v>
      </c>
      <c r="G331" s="3" t="s">
        <v>272</v>
      </c>
      <c r="H331" s="44">
        <v>329</v>
      </c>
    </row>
    <row r="332" spans="1:8" x14ac:dyDescent="0.35">
      <c r="A332" s="5">
        <v>42736</v>
      </c>
      <c r="B332" s="1">
        <v>40</v>
      </c>
      <c r="C332" s="1">
        <v>80</v>
      </c>
      <c r="D332" s="2">
        <v>40000</v>
      </c>
      <c r="E332" s="2">
        <v>1958</v>
      </c>
      <c r="F332" s="3" t="s">
        <v>56</v>
      </c>
      <c r="G332" s="3" t="s">
        <v>723</v>
      </c>
      <c r="H332" s="44">
        <v>330</v>
      </c>
    </row>
    <row r="333" spans="1:8" x14ac:dyDescent="0.35">
      <c r="A333" s="5">
        <v>42736</v>
      </c>
      <c r="B333" s="1">
        <v>40</v>
      </c>
      <c r="C333" s="1">
        <v>80</v>
      </c>
      <c r="D333" s="2">
        <v>60000</v>
      </c>
      <c r="E333" s="2">
        <v>2620</v>
      </c>
      <c r="F333" s="3" t="s">
        <v>56</v>
      </c>
      <c r="G333" s="3" t="s">
        <v>477</v>
      </c>
      <c r="H333" s="44">
        <v>331</v>
      </c>
    </row>
    <row r="334" spans="1:8" x14ac:dyDescent="0.35">
      <c r="A334" s="5">
        <v>42736</v>
      </c>
      <c r="B334" s="1">
        <v>40</v>
      </c>
      <c r="C334" s="1">
        <v>80</v>
      </c>
      <c r="D334" s="2">
        <v>80000</v>
      </c>
      <c r="E334" s="2">
        <v>3001</v>
      </c>
      <c r="F334" s="3" t="s">
        <v>56</v>
      </c>
      <c r="G334" s="3" t="s">
        <v>199</v>
      </c>
      <c r="H334" s="44">
        <v>332</v>
      </c>
    </row>
    <row r="335" spans="1:8" x14ac:dyDescent="0.35">
      <c r="A335" s="5">
        <v>42736</v>
      </c>
      <c r="B335" s="1">
        <v>40</v>
      </c>
      <c r="C335" s="1">
        <v>80</v>
      </c>
      <c r="D335" s="2">
        <v>100000</v>
      </c>
      <c r="E335" s="2">
        <v>3311</v>
      </c>
      <c r="F335" s="3" t="s">
        <v>56</v>
      </c>
      <c r="G335" s="3" t="s">
        <v>324</v>
      </c>
      <c r="H335" s="44">
        <v>333</v>
      </c>
    </row>
    <row r="336" spans="1:8" x14ac:dyDescent="0.35">
      <c r="A336" s="5">
        <v>42736</v>
      </c>
      <c r="B336" s="1">
        <v>40</v>
      </c>
      <c r="C336" s="1">
        <v>80</v>
      </c>
      <c r="D336" s="2">
        <v>120000</v>
      </c>
      <c r="E336" s="2">
        <v>3621</v>
      </c>
      <c r="F336" s="3" t="s">
        <v>56</v>
      </c>
      <c r="G336" s="3" t="s">
        <v>332</v>
      </c>
      <c r="H336" s="44">
        <v>334</v>
      </c>
    </row>
    <row r="337" spans="1:8" x14ac:dyDescent="0.35">
      <c r="A337" s="5">
        <v>42736</v>
      </c>
      <c r="B337" s="1">
        <v>40</v>
      </c>
      <c r="C337" s="1">
        <v>80</v>
      </c>
      <c r="D337" s="2">
        <v>127200</v>
      </c>
      <c r="E337" s="2">
        <v>3732</v>
      </c>
      <c r="F337" s="3" t="s">
        <v>56</v>
      </c>
      <c r="G337" s="3" t="s">
        <v>780</v>
      </c>
      <c r="H337" s="44">
        <v>335</v>
      </c>
    </row>
    <row r="338" spans="1:8" x14ac:dyDescent="0.35">
      <c r="A338" s="5">
        <v>42736</v>
      </c>
      <c r="B338" s="1">
        <v>40</v>
      </c>
      <c r="C338" s="1">
        <v>85</v>
      </c>
      <c r="D338" s="2">
        <v>20000</v>
      </c>
      <c r="E338" s="2">
        <v>1297</v>
      </c>
      <c r="F338" s="3" t="s">
        <v>56</v>
      </c>
      <c r="G338" s="3" t="s">
        <v>302</v>
      </c>
      <c r="H338" s="44">
        <v>336</v>
      </c>
    </row>
    <row r="339" spans="1:8" x14ac:dyDescent="0.35">
      <c r="A339" s="5">
        <v>42736</v>
      </c>
      <c r="B339" s="1">
        <v>40</v>
      </c>
      <c r="C339" s="1">
        <v>85</v>
      </c>
      <c r="D339" s="2">
        <v>40000</v>
      </c>
      <c r="E339" s="2">
        <v>1958</v>
      </c>
      <c r="F339" s="3" t="s">
        <v>56</v>
      </c>
      <c r="G339" s="3" t="s">
        <v>519</v>
      </c>
      <c r="H339" s="44">
        <v>337</v>
      </c>
    </row>
    <row r="340" spans="1:8" x14ac:dyDescent="0.35">
      <c r="A340" s="5">
        <v>42736</v>
      </c>
      <c r="B340" s="1">
        <v>40</v>
      </c>
      <c r="C340" s="1">
        <v>85</v>
      </c>
      <c r="D340" s="2">
        <v>60000</v>
      </c>
      <c r="E340" s="2">
        <v>2620</v>
      </c>
      <c r="F340" s="3" t="s">
        <v>56</v>
      </c>
      <c r="G340" s="3" t="s">
        <v>501</v>
      </c>
      <c r="H340" s="44">
        <v>338</v>
      </c>
    </row>
    <row r="341" spans="1:8" x14ac:dyDescent="0.35">
      <c r="A341" s="5">
        <v>42736</v>
      </c>
      <c r="B341" s="1">
        <v>40</v>
      </c>
      <c r="C341" s="1">
        <v>85</v>
      </c>
      <c r="D341" s="2">
        <v>80000</v>
      </c>
      <c r="E341" s="2">
        <v>3001</v>
      </c>
      <c r="F341" s="3" t="s">
        <v>56</v>
      </c>
      <c r="G341" s="3" t="s">
        <v>94</v>
      </c>
      <c r="H341" s="44">
        <v>339</v>
      </c>
    </row>
    <row r="342" spans="1:8" x14ac:dyDescent="0.35">
      <c r="A342" s="5">
        <v>42736</v>
      </c>
      <c r="B342" s="1">
        <v>40</v>
      </c>
      <c r="C342" s="1">
        <v>85</v>
      </c>
      <c r="D342" s="2">
        <v>100000</v>
      </c>
      <c r="E342" s="2">
        <v>3311</v>
      </c>
      <c r="F342" s="3" t="s">
        <v>56</v>
      </c>
      <c r="G342" s="3" t="s">
        <v>187</v>
      </c>
      <c r="H342" s="44">
        <v>340</v>
      </c>
    </row>
    <row r="343" spans="1:8" x14ac:dyDescent="0.35">
      <c r="A343" s="5">
        <v>42736</v>
      </c>
      <c r="B343" s="1">
        <v>40</v>
      </c>
      <c r="C343" s="1">
        <v>85</v>
      </c>
      <c r="D343" s="2">
        <v>120000</v>
      </c>
      <c r="E343" s="2">
        <v>3621</v>
      </c>
      <c r="F343" s="3" t="s">
        <v>56</v>
      </c>
      <c r="G343" s="3" t="s">
        <v>466</v>
      </c>
      <c r="H343" s="44">
        <v>341</v>
      </c>
    </row>
    <row r="344" spans="1:8" x14ac:dyDescent="0.35">
      <c r="A344" s="5">
        <v>42736</v>
      </c>
      <c r="B344" s="1">
        <v>40</v>
      </c>
      <c r="C344" s="1">
        <v>85</v>
      </c>
      <c r="D344" s="2">
        <v>127200</v>
      </c>
      <c r="E344" s="2">
        <v>3732</v>
      </c>
      <c r="F344" s="3" t="s">
        <v>56</v>
      </c>
      <c r="G344" s="3" t="s">
        <v>344</v>
      </c>
      <c r="H344" s="44">
        <v>342</v>
      </c>
    </row>
    <row r="345" spans="1:8" x14ac:dyDescent="0.35">
      <c r="A345" s="5">
        <v>42736</v>
      </c>
      <c r="B345" s="1">
        <v>45</v>
      </c>
      <c r="C345" s="1">
        <v>62</v>
      </c>
      <c r="D345" s="2">
        <v>20000</v>
      </c>
      <c r="E345" s="2">
        <v>693</v>
      </c>
      <c r="F345" s="3" t="s">
        <v>56</v>
      </c>
      <c r="G345" s="3" t="s">
        <v>17</v>
      </c>
      <c r="H345" s="44">
        <v>343</v>
      </c>
    </row>
    <row r="346" spans="1:8" x14ac:dyDescent="0.35">
      <c r="A346" s="5">
        <v>42736</v>
      </c>
      <c r="B346" s="1">
        <v>45</v>
      </c>
      <c r="C346" s="1">
        <v>62</v>
      </c>
      <c r="D346" s="2">
        <v>40000</v>
      </c>
      <c r="E346" s="2">
        <v>1031</v>
      </c>
      <c r="F346" s="3" t="s">
        <v>56</v>
      </c>
      <c r="G346" s="3" t="s">
        <v>508</v>
      </c>
      <c r="H346" s="44">
        <v>344</v>
      </c>
    </row>
    <row r="347" spans="1:8" x14ac:dyDescent="0.35">
      <c r="A347" s="5">
        <v>42736</v>
      </c>
      <c r="B347" s="1">
        <v>45</v>
      </c>
      <c r="C347" s="1">
        <v>62</v>
      </c>
      <c r="D347" s="2">
        <v>60000</v>
      </c>
      <c r="E347" s="2">
        <v>1364</v>
      </c>
      <c r="F347" s="3" t="s">
        <v>56</v>
      </c>
      <c r="G347" s="3" t="s">
        <v>140</v>
      </c>
      <c r="H347" s="44">
        <v>345</v>
      </c>
    </row>
    <row r="348" spans="1:8" x14ac:dyDescent="0.35">
      <c r="A348" s="5">
        <v>42736</v>
      </c>
      <c r="B348" s="1">
        <v>45</v>
      </c>
      <c r="C348" s="1">
        <v>62</v>
      </c>
      <c r="D348" s="2">
        <v>80000</v>
      </c>
      <c r="E348" s="2">
        <v>1632</v>
      </c>
      <c r="F348" s="3" t="s">
        <v>56</v>
      </c>
      <c r="G348" s="3" t="s">
        <v>105</v>
      </c>
      <c r="H348" s="44">
        <v>346</v>
      </c>
    </row>
    <row r="349" spans="1:8" x14ac:dyDescent="0.35">
      <c r="A349" s="5">
        <v>42736</v>
      </c>
      <c r="B349" s="1">
        <v>45</v>
      </c>
      <c r="C349" s="1">
        <v>62</v>
      </c>
      <c r="D349" s="2">
        <v>100000</v>
      </c>
      <c r="E349" s="2">
        <v>1788</v>
      </c>
      <c r="F349" s="3" t="s">
        <v>56</v>
      </c>
      <c r="G349" s="3" t="s">
        <v>589</v>
      </c>
      <c r="H349" s="44">
        <v>347</v>
      </c>
    </row>
    <row r="350" spans="1:8" x14ac:dyDescent="0.35">
      <c r="A350" s="5">
        <v>42736</v>
      </c>
      <c r="B350" s="1">
        <v>45</v>
      </c>
      <c r="C350" s="1">
        <v>62</v>
      </c>
      <c r="D350" s="2">
        <v>120000</v>
      </c>
      <c r="E350" s="2">
        <v>1945</v>
      </c>
      <c r="F350" s="3" t="s">
        <v>56</v>
      </c>
      <c r="G350" s="3" t="s">
        <v>55</v>
      </c>
      <c r="H350" s="44">
        <v>348</v>
      </c>
    </row>
    <row r="351" spans="1:8" x14ac:dyDescent="0.35">
      <c r="A351" s="5">
        <v>42736</v>
      </c>
      <c r="B351" s="1">
        <v>45</v>
      </c>
      <c r="C351" s="1">
        <v>62</v>
      </c>
      <c r="D351" s="2">
        <v>127200</v>
      </c>
      <c r="E351" s="2">
        <v>2001</v>
      </c>
      <c r="F351" s="3" t="s">
        <v>56</v>
      </c>
      <c r="G351" s="3" t="s">
        <v>320</v>
      </c>
      <c r="H351" s="44">
        <v>349</v>
      </c>
    </row>
    <row r="352" spans="1:8" x14ac:dyDescent="0.35">
      <c r="A352" s="5">
        <v>42736</v>
      </c>
      <c r="B352" s="1">
        <v>45</v>
      </c>
      <c r="C352" s="1">
        <v>65</v>
      </c>
      <c r="D352" s="2">
        <v>20000</v>
      </c>
      <c r="E352" s="2">
        <v>871</v>
      </c>
      <c r="F352" s="3" t="s">
        <v>56</v>
      </c>
      <c r="G352" s="3" t="s">
        <v>367</v>
      </c>
      <c r="H352" s="44">
        <v>350</v>
      </c>
    </row>
    <row r="353" spans="1:8" x14ac:dyDescent="0.35">
      <c r="A353" s="5">
        <v>42736</v>
      </c>
      <c r="B353" s="1">
        <v>45</v>
      </c>
      <c r="C353" s="1">
        <v>65</v>
      </c>
      <c r="D353" s="2">
        <v>40000</v>
      </c>
      <c r="E353" s="2">
        <v>1304</v>
      </c>
      <c r="F353" s="3" t="s">
        <v>56</v>
      </c>
      <c r="G353" s="3" t="s">
        <v>161</v>
      </c>
      <c r="H353" s="44">
        <v>351</v>
      </c>
    </row>
    <row r="354" spans="1:8" x14ac:dyDescent="0.35">
      <c r="A354" s="5">
        <v>42736</v>
      </c>
      <c r="B354" s="1">
        <v>45</v>
      </c>
      <c r="C354" s="1">
        <v>65</v>
      </c>
      <c r="D354" s="2">
        <v>60000</v>
      </c>
      <c r="E354" s="2">
        <v>1732</v>
      </c>
      <c r="F354" s="3" t="s">
        <v>56</v>
      </c>
      <c r="G354" s="3" t="s">
        <v>26</v>
      </c>
      <c r="H354" s="44">
        <v>352</v>
      </c>
    </row>
    <row r="355" spans="1:8" x14ac:dyDescent="0.35">
      <c r="A355" s="5">
        <v>42736</v>
      </c>
      <c r="B355" s="1">
        <v>45</v>
      </c>
      <c r="C355" s="1">
        <v>65</v>
      </c>
      <c r="D355" s="2">
        <v>80000</v>
      </c>
      <c r="E355" s="2">
        <v>2047</v>
      </c>
      <c r="F355" s="3" t="s">
        <v>56</v>
      </c>
      <c r="G355" s="3" t="s">
        <v>523</v>
      </c>
      <c r="H355" s="44">
        <v>353</v>
      </c>
    </row>
    <row r="356" spans="1:8" x14ac:dyDescent="0.35">
      <c r="A356" s="5">
        <v>42736</v>
      </c>
      <c r="B356" s="1">
        <v>45</v>
      </c>
      <c r="C356" s="1">
        <v>65</v>
      </c>
      <c r="D356" s="2">
        <v>100000</v>
      </c>
      <c r="E356" s="2">
        <v>2248</v>
      </c>
      <c r="F356" s="3" t="s">
        <v>56</v>
      </c>
      <c r="G356" s="3" t="s">
        <v>776</v>
      </c>
      <c r="H356" s="44">
        <v>354</v>
      </c>
    </row>
    <row r="357" spans="1:8" x14ac:dyDescent="0.35">
      <c r="A357" s="5">
        <v>42736</v>
      </c>
      <c r="B357" s="1">
        <v>45</v>
      </c>
      <c r="C357" s="1">
        <v>65</v>
      </c>
      <c r="D357" s="2">
        <v>120000</v>
      </c>
      <c r="E357" s="2">
        <v>2448</v>
      </c>
      <c r="F357" s="3" t="s">
        <v>56</v>
      </c>
      <c r="G357" s="3" t="s">
        <v>393</v>
      </c>
      <c r="H357" s="44">
        <v>355</v>
      </c>
    </row>
    <row r="358" spans="1:8" x14ac:dyDescent="0.35">
      <c r="A358" s="5">
        <v>42736</v>
      </c>
      <c r="B358" s="1">
        <v>45</v>
      </c>
      <c r="C358" s="1">
        <v>65</v>
      </c>
      <c r="D358" s="2">
        <v>127200</v>
      </c>
      <c r="E358" s="2">
        <v>2520</v>
      </c>
      <c r="F358" s="3" t="s">
        <v>56</v>
      </c>
      <c r="G358" s="3" t="s">
        <v>786</v>
      </c>
      <c r="H358" s="44">
        <v>356</v>
      </c>
    </row>
    <row r="359" spans="1:8" x14ac:dyDescent="0.35">
      <c r="A359" s="5">
        <v>42736</v>
      </c>
      <c r="B359" s="1">
        <v>45</v>
      </c>
      <c r="C359" s="1">
        <v>67</v>
      </c>
      <c r="D359" s="2">
        <v>20000</v>
      </c>
      <c r="E359" s="2">
        <v>1015</v>
      </c>
      <c r="F359" s="3" t="s">
        <v>56</v>
      </c>
      <c r="G359" s="3" t="s">
        <v>541</v>
      </c>
      <c r="H359" s="44">
        <v>357</v>
      </c>
    </row>
    <row r="360" spans="1:8" x14ac:dyDescent="0.35">
      <c r="A360" s="5">
        <v>42736</v>
      </c>
      <c r="B360" s="1">
        <v>45</v>
      </c>
      <c r="C360" s="1">
        <v>67</v>
      </c>
      <c r="D360" s="2">
        <v>40000</v>
      </c>
      <c r="E360" s="2">
        <v>1525</v>
      </c>
      <c r="F360" s="3" t="s">
        <v>56</v>
      </c>
      <c r="G360" s="3" t="s">
        <v>113</v>
      </c>
      <c r="H360" s="44">
        <v>358</v>
      </c>
    </row>
    <row r="361" spans="1:8" x14ac:dyDescent="0.35">
      <c r="A361" s="5">
        <v>42736</v>
      </c>
      <c r="B361" s="1">
        <v>45</v>
      </c>
      <c r="C361" s="1">
        <v>67</v>
      </c>
      <c r="D361" s="2">
        <v>60000</v>
      </c>
      <c r="E361" s="2">
        <v>2027</v>
      </c>
      <c r="F361" s="3" t="s">
        <v>56</v>
      </c>
      <c r="G361" s="3" t="s">
        <v>264</v>
      </c>
      <c r="H361" s="44">
        <v>359</v>
      </c>
    </row>
    <row r="362" spans="1:8" x14ac:dyDescent="0.35">
      <c r="A362" s="5">
        <v>42736</v>
      </c>
      <c r="B362" s="1">
        <v>45</v>
      </c>
      <c r="C362" s="1">
        <v>67</v>
      </c>
      <c r="D362" s="2">
        <v>80000</v>
      </c>
      <c r="E362" s="2">
        <v>2381</v>
      </c>
      <c r="F362" s="3" t="s">
        <v>56</v>
      </c>
      <c r="G362" s="3" t="s">
        <v>533</v>
      </c>
      <c r="H362" s="44">
        <v>360</v>
      </c>
    </row>
    <row r="363" spans="1:8" x14ac:dyDescent="0.35">
      <c r="A363" s="5">
        <v>42736</v>
      </c>
      <c r="B363" s="1">
        <v>45</v>
      </c>
      <c r="C363" s="1">
        <v>67</v>
      </c>
      <c r="D363" s="2">
        <v>100000</v>
      </c>
      <c r="E363" s="2">
        <v>2617</v>
      </c>
      <c r="F363" s="3" t="s">
        <v>56</v>
      </c>
      <c r="G363" s="3" t="s">
        <v>402</v>
      </c>
      <c r="H363" s="44">
        <v>361</v>
      </c>
    </row>
    <row r="364" spans="1:8" x14ac:dyDescent="0.35">
      <c r="A364" s="5">
        <v>42736</v>
      </c>
      <c r="B364" s="1">
        <v>45</v>
      </c>
      <c r="C364" s="1">
        <v>67</v>
      </c>
      <c r="D364" s="2">
        <v>120000</v>
      </c>
      <c r="E364" s="2">
        <v>2852</v>
      </c>
      <c r="F364" s="3" t="s">
        <v>56</v>
      </c>
      <c r="G364" s="3" t="s">
        <v>31</v>
      </c>
      <c r="H364" s="44">
        <v>362</v>
      </c>
    </row>
    <row r="365" spans="1:8" x14ac:dyDescent="0.35">
      <c r="A365" s="5">
        <v>42736</v>
      </c>
      <c r="B365" s="1">
        <v>45</v>
      </c>
      <c r="C365" s="1">
        <v>67</v>
      </c>
      <c r="D365" s="2">
        <v>127200</v>
      </c>
      <c r="E365" s="2">
        <v>2937</v>
      </c>
      <c r="F365" s="3" t="s">
        <v>56</v>
      </c>
      <c r="G365" s="3" t="s">
        <v>416</v>
      </c>
      <c r="H365" s="44">
        <v>363</v>
      </c>
    </row>
    <row r="366" spans="1:8" x14ac:dyDescent="0.35">
      <c r="A366" s="5">
        <v>42736</v>
      </c>
      <c r="B366" s="1">
        <v>45</v>
      </c>
      <c r="C366" s="1">
        <v>70</v>
      </c>
      <c r="D366" s="2">
        <v>20000</v>
      </c>
      <c r="E366" s="2">
        <v>1266</v>
      </c>
      <c r="F366" s="3" t="s">
        <v>56</v>
      </c>
      <c r="G366" s="3" t="s">
        <v>745</v>
      </c>
      <c r="H366" s="44">
        <v>364</v>
      </c>
    </row>
    <row r="367" spans="1:8" x14ac:dyDescent="0.35">
      <c r="A367" s="5">
        <v>42736</v>
      </c>
      <c r="B367" s="1">
        <v>45</v>
      </c>
      <c r="C367" s="1">
        <v>70</v>
      </c>
      <c r="D367" s="2">
        <v>40000</v>
      </c>
      <c r="E367" s="2">
        <v>1897</v>
      </c>
      <c r="F367" s="3" t="s">
        <v>56</v>
      </c>
      <c r="G367" s="3" t="s">
        <v>434</v>
      </c>
      <c r="H367" s="44">
        <v>365</v>
      </c>
    </row>
    <row r="368" spans="1:8" x14ac:dyDescent="0.35">
      <c r="A368" s="5">
        <v>42736</v>
      </c>
      <c r="B368" s="1">
        <v>45</v>
      </c>
      <c r="C368" s="1">
        <v>70</v>
      </c>
      <c r="D368" s="2">
        <v>60000</v>
      </c>
      <c r="E368" s="2">
        <v>2527</v>
      </c>
      <c r="F368" s="3" t="s">
        <v>56</v>
      </c>
      <c r="G368" s="3" t="s">
        <v>725</v>
      </c>
      <c r="H368" s="44">
        <v>366</v>
      </c>
    </row>
    <row r="369" spans="1:8" x14ac:dyDescent="0.35">
      <c r="A369" s="5">
        <v>42736</v>
      </c>
      <c r="B369" s="1">
        <v>45</v>
      </c>
      <c r="C369" s="1">
        <v>70</v>
      </c>
      <c r="D369" s="2">
        <v>80000</v>
      </c>
      <c r="E369" s="2">
        <v>2943</v>
      </c>
      <c r="F369" s="3" t="s">
        <v>56</v>
      </c>
      <c r="G369" s="3" t="s">
        <v>532</v>
      </c>
      <c r="H369" s="44">
        <v>367</v>
      </c>
    </row>
    <row r="370" spans="1:8" x14ac:dyDescent="0.35">
      <c r="A370" s="5">
        <v>42736</v>
      </c>
      <c r="B370" s="1">
        <v>45</v>
      </c>
      <c r="C370" s="1">
        <v>70</v>
      </c>
      <c r="D370" s="2">
        <v>100000</v>
      </c>
      <c r="E370" s="2">
        <v>3238</v>
      </c>
      <c r="F370" s="3" t="s">
        <v>56</v>
      </c>
      <c r="G370" s="3" t="s">
        <v>778</v>
      </c>
      <c r="H370" s="44">
        <v>368</v>
      </c>
    </row>
    <row r="371" spans="1:8" x14ac:dyDescent="0.35">
      <c r="A371" s="5">
        <v>42736</v>
      </c>
      <c r="B371" s="1">
        <v>45</v>
      </c>
      <c r="C371" s="1">
        <v>70</v>
      </c>
      <c r="D371" s="2">
        <v>120000</v>
      </c>
      <c r="E371" s="2">
        <v>3533</v>
      </c>
      <c r="F371" s="3" t="s">
        <v>56</v>
      </c>
      <c r="G371" s="3" t="s">
        <v>465</v>
      </c>
      <c r="H371" s="44">
        <v>369</v>
      </c>
    </row>
    <row r="372" spans="1:8" x14ac:dyDescent="0.35">
      <c r="A372" s="5">
        <v>42736</v>
      </c>
      <c r="B372" s="1">
        <v>45</v>
      </c>
      <c r="C372" s="1">
        <v>70</v>
      </c>
      <c r="D372" s="2">
        <v>127200</v>
      </c>
      <c r="E372" s="2">
        <v>3640</v>
      </c>
      <c r="F372" s="3" t="s">
        <v>56</v>
      </c>
      <c r="G372" s="3" t="s">
        <v>757</v>
      </c>
      <c r="H372" s="44">
        <v>370</v>
      </c>
    </row>
    <row r="373" spans="1:8" x14ac:dyDescent="0.35">
      <c r="A373" s="5">
        <v>42736</v>
      </c>
      <c r="B373" s="1">
        <v>45</v>
      </c>
      <c r="C373" s="1">
        <v>75</v>
      </c>
      <c r="D373" s="2">
        <v>20000</v>
      </c>
      <c r="E373" s="2">
        <v>1286</v>
      </c>
      <c r="F373" s="3" t="s">
        <v>56</v>
      </c>
      <c r="G373" s="3" t="s">
        <v>696</v>
      </c>
      <c r="H373" s="44">
        <v>371</v>
      </c>
    </row>
    <row r="374" spans="1:8" x14ac:dyDescent="0.35">
      <c r="A374" s="5">
        <v>42736</v>
      </c>
      <c r="B374" s="1">
        <v>45</v>
      </c>
      <c r="C374" s="1">
        <v>75</v>
      </c>
      <c r="D374" s="2">
        <v>40000</v>
      </c>
      <c r="E374" s="2">
        <v>1936</v>
      </c>
      <c r="F374" s="3" t="s">
        <v>56</v>
      </c>
      <c r="G374" s="3" t="s">
        <v>670</v>
      </c>
      <c r="H374" s="44">
        <v>372</v>
      </c>
    </row>
    <row r="375" spans="1:8" x14ac:dyDescent="0.35">
      <c r="A375" s="5">
        <v>42736</v>
      </c>
      <c r="B375" s="1">
        <v>45</v>
      </c>
      <c r="C375" s="1">
        <v>75</v>
      </c>
      <c r="D375" s="2">
        <v>60000</v>
      </c>
      <c r="E375" s="2">
        <v>2585</v>
      </c>
      <c r="F375" s="3" t="s">
        <v>56</v>
      </c>
      <c r="G375" s="3" t="s">
        <v>285</v>
      </c>
      <c r="H375" s="44">
        <v>373</v>
      </c>
    </row>
    <row r="376" spans="1:8" x14ac:dyDescent="0.35">
      <c r="A376" s="5">
        <v>42736</v>
      </c>
      <c r="B376" s="1">
        <v>45</v>
      </c>
      <c r="C376" s="1">
        <v>75</v>
      </c>
      <c r="D376" s="2">
        <v>80000</v>
      </c>
      <c r="E376" s="2">
        <v>2979</v>
      </c>
      <c r="F376" s="3" t="s">
        <v>56</v>
      </c>
      <c r="G376" s="3" t="s">
        <v>755</v>
      </c>
      <c r="H376" s="44">
        <v>374</v>
      </c>
    </row>
    <row r="377" spans="1:8" x14ac:dyDescent="0.35">
      <c r="A377" s="5">
        <v>42736</v>
      </c>
      <c r="B377" s="1">
        <v>45</v>
      </c>
      <c r="C377" s="1">
        <v>75</v>
      </c>
      <c r="D377" s="2">
        <v>100000</v>
      </c>
      <c r="E377" s="2">
        <v>3284</v>
      </c>
      <c r="F377" s="3" t="s">
        <v>56</v>
      </c>
      <c r="G377" s="3" t="s">
        <v>761</v>
      </c>
      <c r="H377" s="44">
        <v>375</v>
      </c>
    </row>
    <row r="378" spans="1:8" x14ac:dyDescent="0.35">
      <c r="A378" s="5">
        <v>42736</v>
      </c>
      <c r="B378" s="1">
        <v>45</v>
      </c>
      <c r="C378" s="1">
        <v>75</v>
      </c>
      <c r="D378" s="2">
        <v>120000</v>
      </c>
      <c r="E378" s="2">
        <v>3589</v>
      </c>
      <c r="F378" s="3" t="s">
        <v>56</v>
      </c>
      <c r="G378" s="3" t="s">
        <v>643</v>
      </c>
      <c r="H378" s="44">
        <v>376</v>
      </c>
    </row>
    <row r="379" spans="1:8" x14ac:dyDescent="0.35">
      <c r="A379" s="5">
        <v>42736</v>
      </c>
      <c r="B379" s="1">
        <v>45</v>
      </c>
      <c r="C379" s="1">
        <v>75</v>
      </c>
      <c r="D379" s="2">
        <v>127200</v>
      </c>
      <c r="E379" s="2">
        <v>3698</v>
      </c>
      <c r="F379" s="3" t="s">
        <v>56</v>
      </c>
      <c r="G379" s="3" t="s">
        <v>492</v>
      </c>
      <c r="H379" s="44">
        <v>377</v>
      </c>
    </row>
    <row r="380" spans="1:8" x14ac:dyDescent="0.35">
      <c r="A380" s="5">
        <v>42736</v>
      </c>
      <c r="B380" s="1">
        <v>45</v>
      </c>
      <c r="C380" s="1">
        <v>80</v>
      </c>
      <c r="D380" s="2">
        <v>20000</v>
      </c>
      <c r="E380" s="2">
        <v>1297</v>
      </c>
      <c r="F380" s="3" t="s">
        <v>56</v>
      </c>
      <c r="G380" s="3" t="s">
        <v>547</v>
      </c>
      <c r="H380" s="44">
        <v>378</v>
      </c>
    </row>
    <row r="381" spans="1:8" x14ac:dyDescent="0.35">
      <c r="A381" s="5">
        <v>42736</v>
      </c>
      <c r="B381" s="1">
        <v>45</v>
      </c>
      <c r="C381" s="1">
        <v>80</v>
      </c>
      <c r="D381" s="2">
        <v>40000</v>
      </c>
      <c r="E381" s="2">
        <v>1958</v>
      </c>
      <c r="F381" s="3" t="s">
        <v>56</v>
      </c>
      <c r="G381" s="3" t="s">
        <v>738</v>
      </c>
      <c r="H381" s="44">
        <v>379</v>
      </c>
    </row>
    <row r="382" spans="1:8" x14ac:dyDescent="0.35">
      <c r="A382" s="5">
        <v>42736</v>
      </c>
      <c r="B382" s="1">
        <v>45</v>
      </c>
      <c r="C382" s="1">
        <v>80</v>
      </c>
      <c r="D382" s="2">
        <v>60000</v>
      </c>
      <c r="E382" s="2">
        <v>2620</v>
      </c>
      <c r="F382" s="3" t="s">
        <v>56</v>
      </c>
      <c r="G382" s="3" t="s">
        <v>583</v>
      </c>
      <c r="H382" s="44">
        <v>380</v>
      </c>
    </row>
    <row r="383" spans="1:8" x14ac:dyDescent="0.35">
      <c r="A383" s="5">
        <v>42736</v>
      </c>
      <c r="B383" s="1">
        <v>45</v>
      </c>
      <c r="C383" s="1">
        <v>80</v>
      </c>
      <c r="D383" s="2">
        <v>80000</v>
      </c>
      <c r="E383" s="2">
        <v>3001</v>
      </c>
      <c r="F383" s="3" t="s">
        <v>56</v>
      </c>
      <c r="G383" s="3" t="s">
        <v>217</v>
      </c>
      <c r="H383" s="44">
        <v>381</v>
      </c>
    </row>
    <row r="384" spans="1:8" x14ac:dyDescent="0.35">
      <c r="A384" s="5">
        <v>42736</v>
      </c>
      <c r="B384" s="1">
        <v>45</v>
      </c>
      <c r="C384" s="1">
        <v>80</v>
      </c>
      <c r="D384" s="2">
        <v>100000</v>
      </c>
      <c r="E384" s="2">
        <v>3311</v>
      </c>
      <c r="F384" s="3" t="s">
        <v>56</v>
      </c>
      <c r="G384" s="3" t="s">
        <v>313</v>
      </c>
      <c r="H384" s="44">
        <v>382</v>
      </c>
    </row>
    <row r="385" spans="1:8" x14ac:dyDescent="0.35">
      <c r="A385" s="5">
        <v>42736</v>
      </c>
      <c r="B385" s="1">
        <v>45</v>
      </c>
      <c r="C385" s="1">
        <v>80</v>
      </c>
      <c r="D385" s="2">
        <v>120000</v>
      </c>
      <c r="E385" s="2">
        <v>3621</v>
      </c>
      <c r="F385" s="3" t="s">
        <v>56</v>
      </c>
      <c r="G385" s="3" t="s">
        <v>470</v>
      </c>
      <c r="H385" s="44">
        <v>383</v>
      </c>
    </row>
    <row r="386" spans="1:8" x14ac:dyDescent="0.35">
      <c r="A386" s="5">
        <v>42736</v>
      </c>
      <c r="B386" s="1">
        <v>45</v>
      </c>
      <c r="C386" s="1">
        <v>80</v>
      </c>
      <c r="D386" s="2">
        <v>127200</v>
      </c>
      <c r="E386" s="2">
        <v>3732</v>
      </c>
      <c r="F386" s="3" t="s">
        <v>56</v>
      </c>
      <c r="G386" s="3" t="s">
        <v>476</v>
      </c>
      <c r="H386" s="44">
        <v>384</v>
      </c>
    </row>
    <row r="387" spans="1:8" x14ac:dyDescent="0.35">
      <c r="A387" s="5">
        <v>42736</v>
      </c>
      <c r="B387" s="1">
        <v>45</v>
      </c>
      <c r="C387" s="1">
        <v>85</v>
      </c>
      <c r="D387" s="2">
        <v>20000</v>
      </c>
      <c r="E387" s="2">
        <v>1297</v>
      </c>
      <c r="F387" s="3" t="s">
        <v>56</v>
      </c>
      <c r="G387" s="3" t="s">
        <v>104</v>
      </c>
      <c r="H387" s="44">
        <v>385</v>
      </c>
    </row>
    <row r="388" spans="1:8" x14ac:dyDescent="0.35">
      <c r="A388" s="5">
        <v>42736</v>
      </c>
      <c r="B388" s="1">
        <v>45</v>
      </c>
      <c r="C388" s="1">
        <v>85</v>
      </c>
      <c r="D388" s="2">
        <v>40000</v>
      </c>
      <c r="E388" s="2">
        <v>1958</v>
      </c>
      <c r="F388" s="3" t="s">
        <v>56</v>
      </c>
      <c r="G388" s="3" t="s">
        <v>116</v>
      </c>
      <c r="H388" s="44">
        <v>386</v>
      </c>
    </row>
    <row r="389" spans="1:8" x14ac:dyDescent="0.35">
      <c r="A389" s="5">
        <v>42736</v>
      </c>
      <c r="B389" s="1">
        <v>45</v>
      </c>
      <c r="C389" s="1">
        <v>85</v>
      </c>
      <c r="D389" s="2">
        <v>60000</v>
      </c>
      <c r="E389" s="2">
        <v>2620</v>
      </c>
      <c r="F389" s="3" t="s">
        <v>56</v>
      </c>
      <c r="G389" s="3" t="s">
        <v>612</v>
      </c>
      <c r="H389" s="44">
        <v>387</v>
      </c>
    </row>
    <row r="390" spans="1:8" x14ac:dyDescent="0.35">
      <c r="A390" s="5">
        <v>42736</v>
      </c>
      <c r="B390" s="1">
        <v>45</v>
      </c>
      <c r="C390" s="1">
        <v>85</v>
      </c>
      <c r="D390" s="2">
        <v>80000</v>
      </c>
      <c r="E390" s="2">
        <v>3001</v>
      </c>
      <c r="F390" s="3" t="s">
        <v>56</v>
      </c>
      <c r="G390" s="3" t="s">
        <v>624</v>
      </c>
      <c r="H390" s="44">
        <v>388</v>
      </c>
    </row>
    <row r="391" spans="1:8" x14ac:dyDescent="0.35">
      <c r="A391" s="5">
        <v>42736</v>
      </c>
      <c r="B391" s="1">
        <v>45</v>
      </c>
      <c r="C391" s="1">
        <v>85</v>
      </c>
      <c r="D391" s="2">
        <v>100000</v>
      </c>
      <c r="E391" s="2">
        <v>3311</v>
      </c>
      <c r="F391" s="3" t="s">
        <v>56</v>
      </c>
      <c r="G391" s="3" t="s">
        <v>729</v>
      </c>
      <c r="H391" s="44">
        <v>389</v>
      </c>
    </row>
    <row r="392" spans="1:8" x14ac:dyDescent="0.35">
      <c r="A392" s="5">
        <v>42736</v>
      </c>
      <c r="B392" s="1">
        <v>45</v>
      </c>
      <c r="C392" s="1">
        <v>85</v>
      </c>
      <c r="D392" s="2">
        <v>120000</v>
      </c>
      <c r="E392" s="2">
        <v>3621</v>
      </c>
      <c r="F392" s="3" t="s">
        <v>56</v>
      </c>
      <c r="G392" s="3" t="s">
        <v>475</v>
      </c>
      <c r="H392" s="44">
        <v>390</v>
      </c>
    </row>
    <row r="393" spans="1:8" x14ac:dyDescent="0.35">
      <c r="A393" s="5">
        <v>42736</v>
      </c>
      <c r="B393" s="1">
        <v>45</v>
      </c>
      <c r="C393" s="1">
        <v>85</v>
      </c>
      <c r="D393" s="2">
        <v>127200</v>
      </c>
      <c r="E393" s="2">
        <v>3732</v>
      </c>
      <c r="F393" s="3" t="s">
        <v>56</v>
      </c>
      <c r="G393" s="3" t="s">
        <v>151</v>
      </c>
      <c r="H393" s="44">
        <v>391</v>
      </c>
    </row>
    <row r="394" spans="1:8" x14ac:dyDescent="0.35">
      <c r="A394" s="5">
        <v>42736</v>
      </c>
      <c r="B394" s="1">
        <v>50</v>
      </c>
      <c r="C394" s="1">
        <v>62</v>
      </c>
      <c r="D394" s="2">
        <v>20000</v>
      </c>
      <c r="E394" s="2">
        <v>672</v>
      </c>
      <c r="F394" s="3" t="s">
        <v>56</v>
      </c>
      <c r="G394" s="3" t="s">
        <v>392</v>
      </c>
      <c r="H394" s="44">
        <v>392</v>
      </c>
    </row>
    <row r="395" spans="1:8" x14ac:dyDescent="0.35">
      <c r="A395" s="5">
        <v>42736</v>
      </c>
      <c r="B395" s="1">
        <v>50</v>
      </c>
      <c r="C395" s="1">
        <v>62</v>
      </c>
      <c r="D395" s="2">
        <v>40000</v>
      </c>
      <c r="E395" s="2">
        <v>989</v>
      </c>
      <c r="F395" s="3" t="s">
        <v>56</v>
      </c>
      <c r="G395" s="3" t="s">
        <v>650</v>
      </c>
      <c r="H395" s="44">
        <v>393</v>
      </c>
    </row>
    <row r="396" spans="1:8" x14ac:dyDescent="0.35">
      <c r="A396" s="5">
        <v>42736</v>
      </c>
      <c r="B396" s="1">
        <v>50</v>
      </c>
      <c r="C396" s="1">
        <v>62</v>
      </c>
      <c r="D396" s="2">
        <v>60000</v>
      </c>
      <c r="E396" s="2">
        <v>1302</v>
      </c>
      <c r="F396" s="3" t="s">
        <v>56</v>
      </c>
      <c r="G396" s="3" t="s">
        <v>469</v>
      </c>
      <c r="H396" s="44">
        <v>394</v>
      </c>
    </row>
    <row r="397" spans="1:8" x14ac:dyDescent="0.35">
      <c r="A397" s="5">
        <v>42736</v>
      </c>
      <c r="B397" s="1">
        <v>50</v>
      </c>
      <c r="C397" s="1">
        <v>62</v>
      </c>
      <c r="D397" s="2">
        <v>80000</v>
      </c>
      <c r="E397" s="2">
        <v>1592</v>
      </c>
      <c r="F397" s="3" t="s">
        <v>56</v>
      </c>
      <c r="G397" s="3" t="s">
        <v>136</v>
      </c>
      <c r="H397" s="44">
        <v>395</v>
      </c>
    </row>
    <row r="398" spans="1:8" x14ac:dyDescent="0.35">
      <c r="A398" s="5">
        <v>42736</v>
      </c>
      <c r="B398" s="1">
        <v>50</v>
      </c>
      <c r="C398" s="1">
        <v>62</v>
      </c>
      <c r="D398" s="2">
        <v>100000</v>
      </c>
      <c r="E398" s="2">
        <v>1739</v>
      </c>
      <c r="F398" s="3" t="s">
        <v>56</v>
      </c>
      <c r="G398" s="3" t="s">
        <v>235</v>
      </c>
      <c r="H398" s="44">
        <v>396</v>
      </c>
    </row>
    <row r="399" spans="1:8" x14ac:dyDescent="0.35">
      <c r="A399" s="5">
        <v>42736</v>
      </c>
      <c r="B399" s="1">
        <v>50</v>
      </c>
      <c r="C399" s="1">
        <v>62</v>
      </c>
      <c r="D399" s="2">
        <v>120000</v>
      </c>
      <c r="E399" s="2">
        <v>1886</v>
      </c>
      <c r="F399" s="3" t="s">
        <v>56</v>
      </c>
      <c r="G399" s="3" t="s">
        <v>762</v>
      </c>
      <c r="H399" s="44">
        <v>397</v>
      </c>
    </row>
    <row r="400" spans="1:8" x14ac:dyDescent="0.35">
      <c r="A400" s="5">
        <v>42736</v>
      </c>
      <c r="B400" s="1">
        <v>50</v>
      </c>
      <c r="C400" s="1">
        <v>62</v>
      </c>
      <c r="D400" s="2">
        <v>127200</v>
      </c>
      <c r="E400" s="2">
        <v>1938</v>
      </c>
      <c r="F400" s="3" t="s">
        <v>56</v>
      </c>
      <c r="G400" s="3" t="s">
        <v>160</v>
      </c>
      <c r="H400" s="44">
        <v>398</v>
      </c>
    </row>
    <row r="401" spans="1:8" x14ac:dyDescent="0.35">
      <c r="A401" s="5">
        <v>42736</v>
      </c>
      <c r="B401" s="1">
        <v>50</v>
      </c>
      <c r="C401" s="1">
        <v>65</v>
      </c>
      <c r="D401" s="2">
        <v>20000</v>
      </c>
      <c r="E401" s="2">
        <v>848</v>
      </c>
      <c r="F401" s="3" t="s">
        <v>56</v>
      </c>
      <c r="G401" s="3" t="s">
        <v>225</v>
      </c>
      <c r="H401" s="44">
        <v>399</v>
      </c>
    </row>
    <row r="402" spans="1:8" x14ac:dyDescent="0.35">
      <c r="A402" s="5">
        <v>42736</v>
      </c>
      <c r="B402" s="1">
        <v>50</v>
      </c>
      <c r="C402" s="1">
        <v>65</v>
      </c>
      <c r="D402" s="2">
        <v>40000</v>
      </c>
      <c r="E402" s="2">
        <v>1258</v>
      </c>
      <c r="F402" s="3" t="s">
        <v>56</v>
      </c>
      <c r="G402" s="3" t="s">
        <v>735</v>
      </c>
      <c r="H402" s="44">
        <v>400</v>
      </c>
    </row>
    <row r="403" spans="1:8" x14ac:dyDescent="0.35">
      <c r="A403" s="5">
        <v>42736</v>
      </c>
      <c r="B403" s="1">
        <v>50</v>
      </c>
      <c r="C403" s="1">
        <v>65</v>
      </c>
      <c r="D403" s="2">
        <v>60000</v>
      </c>
      <c r="E403" s="2">
        <v>1661</v>
      </c>
      <c r="F403" s="3" t="s">
        <v>56</v>
      </c>
      <c r="G403" s="3" t="s">
        <v>126</v>
      </c>
      <c r="H403" s="44">
        <v>401</v>
      </c>
    </row>
    <row r="404" spans="1:8" x14ac:dyDescent="0.35">
      <c r="A404" s="5">
        <v>42736</v>
      </c>
      <c r="B404" s="1">
        <v>50</v>
      </c>
      <c r="C404" s="1">
        <v>65</v>
      </c>
      <c r="D404" s="2">
        <v>80000</v>
      </c>
      <c r="E404" s="2">
        <v>2003</v>
      </c>
      <c r="F404" s="3" t="s">
        <v>56</v>
      </c>
      <c r="G404" s="3" t="s">
        <v>754</v>
      </c>
      <c r="H404" s="44">
        <v>402</v>
      </c>
    </row>
    <row r="405" spans="1:8" x14ac:dyDescent="0.35">
      <c r="A405" s="5">
        <v>42736</v>
      </c>
      <c r="B405" s="1">
        <v>50</v>
      </c>
      <c r="C405" s="1">
        <v>65</v>
      </c>
      <c r="D405" s="2">
        <v>100000</v>
      </c>
      <c r="E405" s="2">
        <v>2193</v>
      </c>
      <c r="F405" s="3" t="s">
        <v>56</v>
      </c>
      <c r="G405" s="3" t="s">
        <v>620</v>
      </c>
      <c r="H405" s="44">
        <v>403</v>
      </c>
    </row>
    <row r="406" spans="1:8" x14ac:dyDescent="0.35">
      <c r="A406" s="5">
        <v>42736</v>
      </c>
      <c r="B406" s="1">
        <v>50</v>
      </c>
      <c r="C406" s="1">
        <v>65</v>
      </c>
      <c r="D406" s="2">
        <v>120000</v>
      </c>
      <c r="E406" s="2">
        <v>2382</v>
      </c>
      <c r="F406" s="3" t="s">
        <v>56</v>
      </c>
      <c r="G406" s="3" t="s">
        <v>52</v>
      </c>
      <c r="H406" s="44">
        <v>404</v>
      </c>
    </row>
    <row r="407" spans="1:8" x14ac:dyDescent="0.35">
      <c r="A407" s="5">
        <v>42736</v>
      </c>
      <c r="B407" s="1">
        <v>50</v>
      </c>
      <c r="C407" s="1">
        <v>65</v>
      </c>
      <c r="D407" s="2">
        <v>127200</v>
      </c>
      <c r="E407" s="2">
        <v>2450</v>
      </c>
      <c r="F407" s="3" t="s">
        <v>56</v>
      </c>
      <c r="G407" s="3" t="s">
        <v>8</v>
      </c>
      <c r="H407" s="44">
        <v>405</v>
      </c>
    </row>
    <row r="408" spans="1:8" x14ac:dyDescent="0.35">
      <c r="A408" s="5">
        <v>42736</v>
      </c>
      <c r="B408" s="1">
        <v>50</v>
      </c>
      <c r="C408" s="1">
        <v>67</v>
      </c>
      <c r="D408" s="2">
        <v>20000</v>
      </c>
      <c r="E408" s="2">
        <v>990</v>
      </c>
      <c r="F408" s="3" t="s">
        <v>56</v>
      </c>
      <c r="G408" s="3" t="s">
        <v>593</v>
      </c>
      <c r="H408" s="44">
        <v>406</v>
      </c>
    </row>
    <row r="409" spans="1:8" x14ac:dyDescent="0.35">
      <c r="A409" s="5">
        <v>42736</v>
      </c>
      <c r="B409" s="1">
        <v>50</v>
      </c>
      <c r="C409" s="1">
        <v>67</v>
      </c>
      <c r="D409" s="2">
        <v>40000</v>
      </c>
      <c r="E409" s="2">
        <v>1475</v>
      </c>
      <c r="F409" s="3" t="s">
        <v>56</v>
      </c>
      <c r="G409" s="3" t="s">
        <v>221</v>
      </c>
      <c r="H409" s="44">
        <v>407</v>
      </c>
    </row>
    <row r="410" spans="1:8" x14ac:dyDescent="0.35">
      <c r="A410" s="5">
        <v>42736</v>
      </c>
      <c r="B410" s="1">
        <v>50</v>
      </c>
      <c r="C410" s="1">
        <v>67</v>
      </c>
      <c r="D410" s="2">
        <v>60000</v>
      </c>
      <c r="E410" s="2">
        <v>1952</v>
      </c>
      <c r="F410" s="3" t="s">
        <v>56</v>
      </c>
      <c r="G410" s="3" t="s">
        <v>763</v>
      </c>
      <c r="H410" s="44">
        <v>408</v>
      </c>
    </row>
    <row r="411" spans="1:8" x14ac:dyDescent="0.35">
      <c r="A411" s="5">
        <v>42736</v>
      </c>
      <c r="B411" s="1">
        <v>50</v>
      </c>
      <c r="C411" s="1">
        <v>67</v>
      </c>
      <c r="D411" s="2">
        <v>80000</v>
      </c>
      <c r="E411" s="2">
        <v>2334</v>
      </c>
      <c r="F411" s="3" t="s">
        <v>56</v>
      </c>
      <c r="G411" s="3" t="s">
        <v>653</v>
      </c>
      <c r="H411" s="44">
        <v>409</v>
      </c>
    </row>
    <row r="412" spans="1:8" x14ac:dyDescent="0.35">
      <c r="A412" s="5">
        <v>42736</v>
      </c>
      <c r="B412" s="1">
        <v>50</v>
      </c>
      <c r="C412" s="1">
        <v>67</v>
      </c>
      <c r="D412" s="2">
        <v>100000</v>
      </c>
      <c r="E412" s="2">
        <v>2558</v>
      </c>
      <c r="F412" s="3" t="s">
        <v>56</v>
      </c>
      <c r="G412" s="3" t="s">
        <v>600</v>
      </c>
      <c r="H412" s="44">
        <v>410</v>
      </c>
    </row>
    <row r="413" spans="1:8" x14ac:dyDescent="0.35">
      <c r="A413" s="5">
        <v>42736</v>
      </c>
      <c r="B413" s="1">
        <v>50</v>
      </c>
      <c r="C413" s="1">
        <v>67</v>
      </c>
      <c r="D413" s="2">
        <v>120000</v>
      </c>
      <c r="E413" s="2">
        <v>2782</v>
      </c>
      <c r="F413" s="3" t="s">
        <v>56</v>
      </c>
      <c r="G413" s="3" t="s">
        <v>717</v>
      </c>
      <c r="H413" s="44">
        <v>411</v>
      </c>
    </row>
    <row r="414" spans="1:8" x14ac:dyDescent="0.35">
      <c r="A414" s="5">
        <v>42736</v>
      </c>
      <c r="B414" s="1">
        <v>50</v>
      </c>
      <c r="C414" s="1">
        <v>67</v>
      </c>
      <c r="D414" s="2">
        <v>127200</v>
      </c>
      <c r="E414" s="2">
        <v>2862</v>
      </c>
      <c r="F414" s="3" t="s">
        <v>56</v>
      </c>
      <c r="G414" s="3" t="s">
        <v>85</v>
      </c>
      <c r="H414" s="44">
        <v>412</v>
      </c>
    </row>
    <row r="415" spans="1:8" x14ac:dyDescent="0.35">
      <c r="A415" s="5">
        <v>42736</v>
      </c>
      <c r="B415" s="1">
        <v>50</v>
      </c>
      <c r="C415" s="1">
        <v>70</v>
      </c>
      <c r="D415" s="2">
        <v>20000</v>
      </c>
      <c r="E415" s="2">
        <v>1239</v>
      </c>
      <c r="F415" s="3" t="s">
        <v>56</v>
      </c>
      <c r="G415" s="3" t="s">
        <v>234</v>
      </c>
      <c r="H415" s="44">
        <v>413</v>
      </c>
    </row>
    <row r="416" spans="1:8" x14ac:dyDescent="0.35">
      <c r="A416" s="5">
        <v>42736</v>
      </c>
      <c r="B416" s="1">
        <v>50</v>
      </c>
      <c r="C416" s="1">
        <v>70</v>
      </c>
      <c r="D416" s="2">
        <v>40000</v>
      </c>
      <c r="E416" s="2">
        <v>1843</v>
      </c>
      <c r="F416" s="3" t="s">
        <v>56</v>
      </c>
      <c r="G416" s="3" t="s">
        <v>604</v>
      </c>
      <c r="H416" s="44">
        <v>414</v>
      </c>
    </row>
    <row r="417" spans="1:8" x14ac:dyDescent="0.35">
      <c r="A417" s="5">
        <v>42736</v>
      </c>
      <c r="B417" s="1">
        <v>50</v>
      </c>
      <c r="C417" s="1">
        <v>70</v>
      </c>
      <c r="D417" s="2">
        <v>60000</v>
      </c>
      <c r="E417" s="2">
        <v>2447</v>
      </c>
      <c r="F417" s="3" t="s">
        <v>56</v>
      </c>
      <c r="G417" s="3" t="s">
        <v>330</v>
      </c>
      <c r="H417" s="44">
        <v>415</v>
      </c>
    </row>
    <row r="418" spans="1:8" x14ac:dyDescent="0.35">
      <c r="A418" s="5">
        <v>42736</v>
      </c>
      <c r="B418" s="1">
        <v>50</v>
      </c>
      <c r="C418" s="1">
        <v>70</v>
      </c>
      <c r="D418" s="2">
        <v>80000</v>
      </c>
      <c r="E418" s="2">
        <v>2892</v>
      </c>
      <c r="F418" s="3" t="s">
        <v>56</v>
      </c>
      <c r="G418" s="3" t="s">
        <v>119</v>
      </c>
      <c r="H418" s="44">
        <v>416</v>
      </c>
    </row>
    <row r="419" spans="1:8" x14ac:dyDescent="0.35">
      <c r="A419" s="5">
        <v>42736</v>
      </c>
      <c r="B419" s="1">
        <v>50</v>
      </c>
      <c r="C419" s="1">
        <v>70</v>
      </c>
      <c r="D419" s="2">
        <v>100000</v>
      </c>
      <c r="E419" s="2">
        <v>3175</v>
      </c>
      <c r="F419" s="3" t="s">
        <v>56</v>
      </c>
      <c r="G419" s="3" t="s">
        <v>485</v>
      </c>
      <c r="H419" s="44">
        <v>417</v>
      </c>
    </row>
    <row r="420" spans="1:8" x14ac:dyDescent="0.35">
      <c r="A420" s="5">
        <v>42736</v>
      </c>
      <c r="B420" s="1">
        <v>50</v>
      </c>
      <c r="C420" s="1">
        <v>70</v>
      </c>
      <c r="D420" s="2">
        <v>120000</v>
      </c>
      <c r="E420" s="2">
        <v>3458</v>
      </c>
      <c r="F420" s="3" t="s">
        <v>56</v>
      </c>
      <c r="G420" s="3" t="s">
        <v>211</v>
      </c>
      <c r="H420" s="44">
        <v>418</v>
      </c>
    </row>
    <row r="421" spans="1:8" x14ac:dyDescent="0.35">
      <c r="A421" s="5">
        <v>42736</v>
      </c>
      <c r="B421" s="1">
        <v>50</v>
      </c>
      <c r="C421" s="1">
        <v>70</v>
      </c>
      <c r="D421" s="2">
        <v>127200</v>
      </c>
      <c r="E421" s="2">
        <v>3560</v>
      </c>
      <c r="F421" s="3" t="s">
        <v>56</v>
      </c>
      <c r="G421" s="3" t="s">
        <v>685</v>
      </c>
      <c r="H421" s="44">
        <v>419</v>
      </c>
    </row>
    <row r="422" spans="1:8" x14ac:dyDescent="0.35">
      <c r="A422" s="5">
        <v>42736</v>
      </c>
      <c r="B422" s="1">
        <v>50</v>
      </c>
      <c r="C422" s="1">
        <v>75</v>
      </c>
      <c r="D422" s="2">
        <v>20000</v>
      </c>
      <c r="E422" s="2">
        <v>1266</v>
      </c>
      <c r="F422" s="3" t="s">
        <v>56</v>
      </c>
      <c r="G422" s="3" t="s">
        <v>468</v>
      </c>
      <c r="H422" s="44">
        <v>420</v>
      </c>
    </row>
    <row r="423" spans="1:8" x14ac:dyDescent="0.35">
      <c r="A423" s="5">
        <v>42736</v>
      </c>
      <c r="B423" s="1">
        <v>50</v>
      </c>
      <c r="C423" s="1">
        <v>75</v>
      </c>
      <c r="D423" s="2">
        <v>40000</v>
      </c>
      <c r="E423" s="2">
        <v>1897</v>
      </c>
      <c r="F423" s="3" t="s">
        <v>56</v>
      </c>
      <c r="G423" s="3" t="s">
        <v>144</v>
      </c>
      <c r="H423" s="44">
        <v>421</v>
      </c>
    </row>
    <row r="424" spans="1:8" x14ac:dyDescent="0.35">
      <c r="A424" s="5">
        <v>42736</v>
      </c>
      <c r="B424" s="1">
        <v>50</v>
      </c>
      <c r="C424" s="1">
        <v>75</v>
      </c>
      <c r="D424" s="2">
        <v>60000</v>
      </c>
      <c r="E424" s="2">
        <v>2527</v>
      </c>
      <c r="F424" s="3" t="s">
        <v>56</v>
      </c>
      <c r="G424" s="3" t="s">
        <v>122</v>
      </c>
      <c r="H424" s="44">
        <v>422</v>
      </c>
    </row>
    <row r="425" spans="1:8" x14ac:dyDescent="0.35">
      <c r="A425" s="5">
        <v>42736</v>
      </c>
      <c r="B425" s="1">
        <v>50</v>
      </c>
      <c r="C425" s="1">
        <v>75</v>
      </c>
      <c r="D425" s="2">
        <v>80000</v>
      </c>
      <c r="E425" s="2">
        <v>2943</v>
      </c>
      <c r="F425" s="3" t="s">
        <v>56</v>
      </c>
      <c r="G425" s="3" t="s">
        <v>607</v>
      </c>
      <c r="H425" s="44">
        <v>423</v>
      </c>
    </row>
    <row r="426" spans="1:8" x14ac:dyDescent="0.35">
      <c r="A426" s="5">
        <v>42736</v>
      </c>
      <c r="B426" s="1">
        <v>50</v>
      </c>
      <c r="C426" s="1">
        <v>75</v>
      </c>
      <c r="D426" s="2">
        <v>100000</v>
      </c>
      <c r="E426" s="2">
        <v>3238</v>
      </c>
      <c r="F426" s="3" t="s">
        <v>56</v>
      </c>
      <c r="G426" s="3" t="s">
        <v>728</v>
      </c>
      <c r="H426" s="44">
        <v>424</v>
      </c>
    </row>
    <row r="427" spans="1:8" x14ac:dyDescent="0.35">
      <c r="A427" s="5">
        <v>42736</v>
      </c>
      <c r="B427" s="1">
        <v>50</v>
      </c>
      <c r="C427" s="1">
        <v>75</v>
      </c>
      <c r="D427" s="2">
        <v>120000</v>
      </c>
      <c r="E427" s="2">
        <v>3533</v>
      </c>
      <c r="F427" s="3" t="s">
        <v>56</v>
      </c>
      <c r="G427" s="3" t="s">
        <v>22</v>
      </c>
      <c r="H427" s="44">
        <v>425</v>
      </c>
    </row>
    <row r="428" spans="1:8" x14ac:dyDescent="0.35">
      <c r="A428" s="5">
        <v>42736</v>
      </c>
      <c r="B428" s="1">
        <v>50</v>
      </c>
      <c r="C428" s="1">
        <v>75</v>
      </c>
      <c r="D428" s="2">
        <v>127200</v>
      </c>
      <c r="E428" s="2">
        <v>3640</v>
      </c>
      <c r="F428" s="3" t="s">
        <v>56</v>
      </c>
      <c r="G428" s="3" t="s">
        <v>276</v>
      </c>
      <c r="H428" s="44">
        <v>426</v>
      </c>
    </row>
    <row r="429" spans="1:8" x14ac:dyDescent="0.35">
      <c r="A429" s="5">
        <v>42736</v>
      </c>
      <c r="B429" s="1">
        <v>50</v>
      </c>
      <c r="C429" s="1">
        <v>80</v>
      </c>
      <c r="D429" s="2">
        <v>20000</v>
      </c>
      <c r="E429" s="2">
        <v>1286</v>
      </c>
      <c r="F429" s="3" t="s">
        <v>56</v>
      </c>
      <c r="G429" s="3" t="s">
        <v>381</v>
      </c>
      <c r="H429" s="44">
        <v>427</v>
      </c>
    </row>
    <row r="430" spans="1:8" x14ac:dyDescent="0.35">
      <c r="A430" s="5">
        <v>42736</v>
      </c>
      <c r="B430" s="1">
        <v>50</v>
      </c>
      <c r="C430" s="1">
        <v>80</v>
      </c>
      <c r="D430" s="2">
        <v>40000</v>
      </c>
      <c r="E430" s="2">
        <v>1936</v>
      </c>
      <c r="F430" s="3" t="s">
        <v>56</v>
      </c>
      <c r="G430" s="3" t="s">
        <v>153</v>
      </c>
      <c r="H430" s="44">
        <v>428</v>
      </c>
    </row>
    <row r="431" spans="1:8" x14ac:dyDescent="0.35">
      <c r="A431" s="5">
        <v>42736</v>
      </c>
      <c r="B431" s="1">
        <v>50</v>
      </c>
      <c r="C431" s="1">
        <v>80</v>
      </c>
      <c r="D431" s="2">
        <v>60000</v>
      </c>
      <c r="E431" s="2">
        <v>2585</v>
      </c>
      <c r="F431" s="3" t="s">
        <v>56</v>
      </c>
      <c r="G431" s="3" t="s">
        <v>176</v>
      </c>
      <c r="H431" s="44">
        <v>429</v>
      </c>
    </row>
    <row r="432" spans="1:8" x14ac:dyDescent="0.35">
      <c r="A432" s="5">
        <v>42736</v>
      </c>
      <c r="B432" s="1">
        <v>50</v>
      </c>
      <c r="C432" s="1">
        <v>80</v>
      </c>
      <c r="D432" s="2">
        <v>80000</v>
      </c>
      <c r="E432" s="2">
        <v>2979</v>
      </c>
      <c r="F432" s="3" t="s">
        <v>56</v>
      </c>
      <c r="G432" s="3" t="s">
        <v>647</v>
      </c>
      <c r="H432" s="44">
        <v>430</v>
      </c>
    </row>
    <row r="433" spans="1:8" x14ac:dyDescent="0.35">
      <c r="A433" s="5">
        <v>42736</v>
      </c>
      <c r="B433" s="1">
        <v>50</v>
      </c>
      <c r="C433" s="1">
        <v>80</v>
      </c>
      <c r="D433" s="2">
        <v>100000</v>
      </c>
      <c r="E433" s="2">
        <v>3284</v>
      </c>
      <c r="F433" s="3" t="s">
        <v>56</v>
      </c>
      <c r="G433" s="3" t="s">
        <v>336</v>
      </c>
      <c r="H433" s="44">
        <v>431</v>
      </c>
    </row>
    <row r="434" spans="1:8" x14ac:dyDescent="0.35">
      <c r="A434" s="5">
        <v>42736</v>
      </c>
      <c r="B434" s="1">
        <v>50</v>
      </c>
      <c r="C434" s="1">
        <v>80</v>
      </c>
      <c r="D434" s="2">
        <v>120000</v>
      </c>
      <c r="E434" s="2">
        <v>3589</v>
      </c>
      <c r="F434" s="3" t="s">
        <v>56</v>
      </c>
      <c r="G434" s="3" t="s">
        <v>733</v>
      </c>
      <c r="H434" s="44">
        <v>432</v>
      </c>
    </row>
    <row r="435" spans="1:8" x14ac:dyDescent="0.35">
      <c r="A435" s="5">
        <v>42736</v>
      </c>
      <c r="B435" s="1">
        <v>50</v>
      </c>
      <c r="C435" s="1">
        <v>80</v>
      </c>
      <c r="D435" s="2">
        <v>127200</v>
      </c>
      <c r="E435" s="2">
        <v>3698</v>
      </c>
      <c r="F435" s="3" t="s">
        <v>56</v>
      </c>
      <c r="G435" s="3" t="s">
        <v>2</v>
      </c>
      <c r="H435" s="44">
        <v>433</v>
      </c>
    </row>
    <row r="436" spans="1:8" x14ac:dyDescent="0.35">
      <c r="A436" s="5">
        <v>42736</v>
      </c>
      <c r="B436" s="1">
        <v>50</v>
      </c>
      <c r="C436" s="1">
        <v>85</v>
      </c>
      <c r="D436" s="2">
        <v>20000</v>
      </c>
      <c r="E436" s="2">
        <v>1297</v>
      </c>
      <c r="F436" s="3" t="s">
        <v>56</v>
      </c>
      <c r="G436" s="3" t="s">
        <v>408</v>
      </c>
      <c r="H436" s="44">
        <v>434</v>
      </c>
    </row>
    <row r="437" spans="1:8" x14ac:dyDescent="0.35">
      <c r="A437" s="5">
        <v>42736</v>
      </c>
      <c r="B437" s="1">
        <v>50</v>
      </c>
      <c r="C437" s="1">
        <v>85</v>
      </c>
      <c r="D437" s="2">
        <v>40000</v>
      </c>
      <c r="E437" s="2">
        <v>1958</v>
      </c>
      <c r="F437" s="3" t="s">
        <v>56</v>
      </c>
      <c r="G437" s="3" t="s">
        <v>44</v>
      </c>
      <c r="H437" s="44">
        <v>435</v>
      </c>
    </row>
    <row r="438" spans="1:8" x14ac:dyDescent="0.35">
      <c r="A438" s="5">
        <v>42736</v>
      </c>
      <c r="B438" s="1">
        <v>50</v>
      </c>
      <c r="C438" s="1">
        <v>85</v>
      </c>
      <c r="D438" s="2">
        <v>60000</v>
      </c>
      <c r="E438" s="2">
        <v>2620</v>
      </c>
      <c r="F438" s="3" t="s">
        <v>56</v>
      </c>
      <c r="G438" s="3" t="s">
        <v>516</v>
      </c>
      <c r="H438" s="44">
        <v>436</v>
      </c>
    </row>
    <row r="439" spans="1:8" x14ac:dyDescent="0.35">
      <c r="A439" s="5">
        <v>42736</v>
      </c>
      <c r="B439" s="1">
        <v>50</v>
      </c>
      <c r="C439" s="1">
        <v>85</v>
      </c>
      <c r="D439" s="2">
        <v>80000</v>
      </c>
      <c r="E439" s="2">
        <v>3001</v>
      </c>
      <c r="F439" s="3" t="s">
        <v>56</v>
      </c>
      <c r="G439" s="3" t="s">
        <v>389</v>
      </c>
      <c r="H439" s="44">
        <v>437</v>
      </c>
    </row>
    <row r="440" spans="1:8" x14ac:dyDescent="0.35">
      <c r="A440" s="5">
        <v>42736</v>
      </c>
      <c r="B440" s="1">
        <v>50</v>
      </c>
      <c r="C440" s="1">
        <v>85</v>
      </c>
      <c r="D440" s="2">
        <v>100000</v>
      </c>
      <c r="E440" s="2">
        <v>3311</v>
      </c>
      <c r="F440" s="3" t="s">
        <v>56</v>
      </c>
      <c r="G440" s="3" t="s">
        <v>260</v>
      </c>
      <c r="H440" s="44">
        <v>438</v>
      </c>
    </row>
    <row r="441" spans="1:8" x14ac:dyDescent="0.35">
      <c r="A441" s="5">
        <v>42736</v>
      </c>
      <c r="B441" s="1">
        <v>50</v>
      </c>
      <c r="C441" s="1">
        <v>85</v>
      </c>
      <c r="D441" s="2">
        <v>120000</v>
      </c>
      <c r="E441" s="2">
        <v>3621</v>
      </c>
      <c r="F441" s="3" t="s">
        <v>56</v>
      </c>
      <c r="G441" s="3" t="s">
        <v>12</v>
      </c>
      <c r="H441" s="44">
        <v>439</v>
      </c>
    </row>
    <row r="442" spans="1:8" x14ac:dyDescent="0.35">
      <c r="A442" s="5">
        <v>42736</v>
      </c>
      <c r="B442" s="1">
        <v>50</v>
      </c>
      <c r="C442" s="1">
        <v>85</v>
      </c>
      <c r="D442" s="2">
        <v>127200</v>
      </c>
      <c r="E442" s="2">
        <v>3732</v>
      </c>
      <c r="F442" s="3" t="s">
        <v>56</v>
      </c>
      <c r="G442" s="3" t="s">
        <v>711</v>
      </c>
      <c r="H442" s="44">
        <v>440</v>
      </c>
    </row>
    <row r="443" spans="1:8" x14ac:dyDescent="0.35">
      <c r="A443" s="5">
        <v>42736</v>
      </c>
      <c r="B443" s="1">
        <v>55</v>
      </c>
      <c r="C443" s="1">
        <v>62</v>
      </c>
      <c r="D443" s="2">
        <v>20000</v>
      </c>
      <c r="E443" s="2">
        <v>648</v>
      </c>
      <c r="F443" s="3" t="s">
        <v>56</v>
      </c>
      <c r="G443" s="3" t="s">
        <v>335</v>
      </c>
      <c r="H443" s="44">
        <v>441</v>
      </c>
    </row>
    <row r="444" spans="1:8" x14ac:dyDescent="0.35">
      <c r="A444" s="5">
        <v>42736</v>
      </c>
      <c r="B444" s="1">
        <v>55</v>
      </c>
      <c r="C444" s="1">
        <v>62</v>
      </c>
      <c r="D444" s="2">
        <v>40000</v>
      </c>
      <c r="E444" s="2">
        <v>941</v>
      </c>
      <c r="F444" s="3" t="s">
        <v>56</v>
      </c>
      <c r="G444" s="3" t="s">
        <v>255</v>
      </c>
      <c r="H444" s="44">
        <v>442</v>
      </c>
    </row>
    <row r="445" spans="1:8" x14ac:dyDescent="0.35">
      <c r="A445" s="5">
        <v>42736</v>
      </c>
      <c r="B445" s="1">
        <v>55</v>
      </c>
      <c r="C445" s="1">
        <v>62</v>
      </c>
      <c r="D445" s="2">
        <v>60000</v>
      </c>
      <c r="E445" s="2">
        <v>1230</v>
      </c>
      <c r="F445" s="3" t="s">
        <v>56</v>
      </c>
      <c r="G445" s="3" t="s">
        <v>339</v>
      </c>
      <c r="H445" s="44">
        <v>443</v>
      </c>
    </row>
    <row r="446" spans="1:8" x14ac:dyDescent="0.35">
      <c r="A446" s="5">
        <v>42736</v>
      </c>
      <c r="B446" s="1">
        <v>55</v>
      </c>
      <c r="C446" s="1">
        <v>62</v>
      </c>
      <c r="D446" s="2">
        <v>80000</v>
      </c>
      <c r="E446" s="2">
        <v>1519</v>
      </c>
      <c r="F446" s="3" t="s">
        <v>56</v>
      </c>
      <c r="G446" s="3" t="s">
        <v>115</v>
      </c>
      <c r="H446" s="44">
        <v>444</v>
      </c>
    </row>
    <row r="447" spans="1:8" x14ac:dyDescent="0.35">
      <c r="A447" s="5">
        <v>42736</v>
      </c>
      <c r="B447" s="1">
        <v>55</v>
      </c>
      <c r="C447" s="1">
        <v>62</v>
      </c>
      <c r="D447" s="2">
        <v>100000</v>
      </c>
      <c r="E447" s="2">
        <v>1683</v>
      </c>
      <c r="F447" s="3" t="s">
        <v>56</v>
      </c>
      <c r="G447" s="3" t="s">
        <v>150</v>
      </c>
      <c r="H447" s="44">
        <v>445</v>
      </c>
    </row>
    <row r="448" spans="1:8" x14ac:dyDescent="0.35">
      <c r="A448" s="5">
        <v>42736</v>
      </c>
      <c r="B448" s="1">
        <v>55</v>
      </c>
      <c r="C448" s="1">
        <v>62</v>
      </c>
      <c r="D448" s="2">
        <v>120000</v>
      </c>
      <c r="E448" s="2">
        <v>1818</v>
      </c>
      <c r="F448" s="3" t="s">
        <v>56</v>
      </c>
      <c r="G448" s="3" t="s">
        <v>646</v>
      </c>
      <c r="H448" s="44">
        <v>446</v>
      </c>
    </row>
    <row r="449" spans="1:8" x14ac:dyDescent="0.35">
      <c r="A449" s="5">
        <v>42736</v>
      </c>
      <c r="B449" s="1">
        <v>55</v>
      </c>
      <c r="C449" s="1">
        <v>62</v>
      </c>
      <c r="D449" s="2">
        <v>127200</v>
      </c>
      <c r="E449" s="2">
        <v>1867</v>
      </c>
      <c r="F449" s="3" t="s">
        <v>56</v>
      </c>
      <c r="G449" s="3" t="s">
        <v>510</v>
      </c>
      <c r="H449" s="44">
        <v>447</v>
      </c>
    </row>
    <row r="450" spans="1:8" x14ac:dyDescent="0.35">
      <c r="A450" s="5">
        <v>42736</v>
      </c>
      <c r="B450" s="1">
        <v>55</v>
      </c>
      <c r="C450" s="1">
        <v>65</v>
      </c>
      <c r="D450" s="2">
        <v>20000</v>
      </c>
      <c r="E450" s="2">
        <v>821</v>
      </c>
      <c r="F450" s="3" t="s">
        <v>56</v>
      </c>
      <c r="G450" s="3" t="s">
        <v>684</v>
      </c>
      <c r="H450" s="44">
        <v>448</v>
      </c>
    </row>
    <row r="451" spans="1:8" x14ac:dyDescent="0.35">
      <c r="A451" s="5">
        <v>42736</v>
      </c>
      <c r="B451" s="1">
        <v>55</v>
      </c>
      <c r="C451" s="1">
        <v>65</v>
      </c>
      <c r="D451" s="2">
        <v>40000</v>
      </c>
      <c r="E451" s="2">
        <v>1203</v>
      </c>
      <c r="F451" s="3" t="s">
        <v>56</v>
      </c>
      <c r="G451" s="3" t="s">
        <v>131</v>
      </c>
      <c r="H451" s="44">
        <v>449</v>
      </c>
    </row>
    <row r="452" spans="1:8" x14ac:dyDescent="0.35">
      <c r="A452" s="5">
        <v>42736</v>
      </c>
      <c r="B452" s="1">
        <v>55</v>
      </c>
      <c r="C452" s="1">
        <v>65</v>
      </c>
      <c r="D452" s="2">
        <v>60000</v>
      </c>
      <c r="E452" s="2">
        <v>1579</v>
      </c>
      <c r="F452" s="3" t="s">
        <v>56</v>
      </c>
      <c r="G452" s="3" t="s">
        <v>296</v>
      </c>
      <c r="H452" s="44">
        <v>450</v>
      </c>
    </row>
    <row r="453" spans="1:8" x14ac:dyDescent="0.35">
      <c r="A453" s="5">
        <v>42736</v>
      </c>
      <c r="B453" s="1">
        <v>55</v>
      </c>
      <c r="C453" s="1">
        <v>65</v>
      </c>
      <c r="D453" s="2">
        <v>80000</v>
      </c>
      <c r="E453" s="2">
        <v>1952</v>
      </c>
      <c r="F453" s="3" t="s">
        <v>56</v>
      </c>
      <c r="G453" s="3" t="s">
        <v>343</v>
      </c>
      <c r="H453" s="44">
        <v>451</v>
      </c>
    </row>
    <row r="454" spans="1:8" x14ac:dyDescent="0.35">
      <c r="A454" s="5">
        <v>42736</v>
      </c>
      <c r="B454" s="1">
        <v>55</v>
      </c>
      <c r="C454" s="1">
        <v>65</v>
      </c>
      <c r="D454" s="2">
        <v>100000</v>
      </c>
      <c r="E454" s="2">
        <v>2128</v>
      </c>
      <c r="F454" s="3" t="s">
        <v>56</v>
      </c>
      <c r="G454" s="3" t="s">
        <v>282</v>
      </c>
      <c r="H454" s="44">
        <v>452</v>
      </c>
    </row>
    <row r="455" spans="1:8" x14ac:dyDescent="0.35">
      <c r="A455" s="5">
        <v>42736</v>
      </c>
      <c r="B455" s="1">
        <v>55</v>
      </c>
      <c r="C455" s="1">
        <v>65</v>
      </c>
      <c r="D455" s="2">
        <v>120000</v>
      </c>
      <c r="E455" s="2">
        <v>2304</v>
      </c>
      <c r="F455" s="3" t="s">
        <v>56</v>
      </c>
      <c r="G455" s="3" t="s">
        <v>275</v>
      </c>
      <c r="H455" s="44">
        <v>453</v>
      </c>
    </row>
    <row r="456" spans="1:8" x14ac:dyDescent="0.35">
      <c r="A456" s="5">
        <v>42736</v>
      </c>
      <c r="B456" s="1">
        <v>55</v>
      </c>
      <c r="C456" s="1">
        <v>65</v>
      </c>
      <c r="D456" s="2">
        <v>127200</v>
      </c>
      <c r="E456" s="2">
        <v>2368</v>
      </c>
      <c r="F456" s="3" t="s">
        <v>56</v>
      </c>
      <c r="G456" s="3" t="s">
        <v>284</v>
      </c>
      <c r="H456" s="44">
        <v>454</v>
      </c>
    </row>
    <row r="457" spans="1:8" x14ac:dyDescent="0.35">
      <c r="A457" s="5">
        <v>42736</v>
      </c>
      <c r="B457" s="1">
        <v>55</v>
      </c>
      <c r="C457" s="1">
        <v>67</v>
      </c>
      <c r="D457" s="2">
        <v>20000</v>
      </c>
      <c r="E457" s="2">
        <v>961</v>
      </c>
      <c r="F457" s="3" t="s">
        <v>56</v>
      </c>
      <c r="G457" s="3" t="s">
        <v>710</v>
      </c>
      <c r="H457" s="44">
        <v>455</v>
      </c>
    </row>
    <row r="458" spans="1:8" x14ac:dyDescent="0.35">
      <c r="A458" s="5">
        <v>42736</v>
      </c>
      <c r="B458" s="1">
        <v>55</v>
      </c>
      <c r="C458" s="1">
        <v>67</v>
      </c>
      <c r="D458" s="2">
        <v>40000</v>
      </c>
      <c r="E458" s="2">
        <v>1415</v>
      </c>
      <c r="F458" s="3" t="s">
        <v>56</v>
      </c>
      <c r="G458" s="3" t="s">
        <v>316</v>
      </c>
      <c r="H458" s="44">
        <v>456</v>
      </c>
    </row>
    <row r="459" spans="1:8" x14ac:dyDescent="0.35">
      <c r="A459" s="5">
        <v>42736</v>
      </c>
      <c r="B459" s="1">
        <v>55</v>
      </c>
      <c r="C459" s="1">
        <v>67</v>
      </c>
      <c r="D459" s="2">
        <v>60000</v>
      </c>
      <c r="E459" s="2">
        <v>1863</v>
      </c>
      <c r="F459" s="3" t="s">
        <v>56</v>
      </c>
      <c r="G459" s="3" t="s">
        <v>627</v>
      </c>
      <c r="H459" s="44">
        <v>457</v>
      </c>
    </row>
    <row r="460" spans="1:8" x14ac:dyDescent="0.35">
      <c r="A460" s="5">
        <v>42736</v>
      </c>
      <c r="B460" s="1">
        <v>55</v>
      </c>
      <c r="C460" s="1">
        <v>67</v>
      </c>
      <c r="D460" s="2">
        <v>80000</v>
      </c>
      <c r="E460" s="2">
        <v>2278</v>
      </c>
      <c r="F460" s="3" t="s">
        <v>56</v>
      </c>
      <c r="G460" s="3" t="s">
        <v>588</v>
      </c>
      <c r="H460" s="44">
        <v>458</v>
      </c>
    </row>
    <row r="461" spans="1:8" x14ac:dyDescent="0.35">
      <c r="A461" s="5">
        <v>42736</v>
      </c>
      <c r="B461" s="1">
        <v>55</v>
      </c>
      <c r="C461" s="1">
        <v>67</v>
      </c>
      <c r="D461" s="2">
        <v>100000</v>
      </c>
      <c r="E461" s="2">
        <v>2488</v>
      </c>
      <c r="F461" s="3" t="s">
        <v>56</v>
      </c>
      <c r="G461" s="3" t="s">
        <v>741</v>
      </c>
      <c r="H461" s="44">
        <v>459</v>
      </c>
    </row>
    <row r="462" spans="1:8" x14ac:dyDescent="0.35">
      <c r="A462" s="5">
        <v>42736</v>
      </c>
      <c r="B462" s="1">
        <v>55</v>
      </c>
      <c r="C462" s="1">
        <v>67</v>
      </c>
      <c r="D462" s="2">
        <v>120000</v>
      </c>
      <c r="E462" s="2">
        <v>2698</v>
      </c>
      <c r="F462" s="3" t="s">
        <v>56</v>
      </c>
      <c r="G462" s="3" t="s">
        <v>391</v>
      </c>
      <c r="H462" s="44">
        <v>460</v>
      </c>
    </row>
    <row r="463" spans="1:8" x14ac:dyDescent="0.35">
      <c r="A463" s="5">
        <v>42736</v>
      </c>
      <c r="B463" s="1">
        <v>55</v>
      </c>
      <c r="C463" s="1">
        <v>67</v>
      </c>
      <c r="D463" s="2">
        <v>127200</v>
      </c>
      <c r="E463" s="2">
        <v>2773</v>
      </c>
      <c r="F463" s="3" t="s">
        <v>56</v>
      </c>
      <c r="G463" s="3" t="s">
        <v>159</v>
      </c>
      <c r="H463" s="44">
        <v>461</v>
      </c>
    </row>
    <row r="464" spans="1:8" x14ac:dyDescent="0.35">
      <c r="A464" s="5">
        <v>42736</v>
      </c>
      <c r="B464" s="1">
        <v>55</v>
      </c>
      <c r="C464" s="1">
        <v>70</v>
      </c>
      <c r="D464" s="2">
        <v>20000</v>
      </c>
      <c r="E464" s="2">
        <v>1206</v>
      </c>
      <c r="F464" s="3" t="s">
        <v>56</v>
      </c>
      <c r="G464" s="3" t="s">
        <v>566</v>
      </c>
      <c r="H464" s="44">
        <v>462</v>
      </c>
    </row>
    <row r="465" spans="1:8" x14ac:dyDescent="0.35">
      <c r="A465" s="5">
        <v>42736</v>
      </c>
      <c r="B465" s="1">
        <v>55</v>
      </c>
      <c r="C465" s="1">
        <v>70</v>
      </c>
      <c r="D465" s="2">
        <v>40000</v>
      </c>
      <c r="E465" s="2">
        <v>1777</v>
      </c>
      <c r="F465" s="3" t="s">
        <v>56</v>
      </c>
      <c r="G465" s="3" t="s">
        <v>385</v>
      </c>
      <c r="H465" s="44">
        <v>463</v>
      </c>
    </row>
    <row r="466" spans="1:8" x14ac:dyDescent="0.35">
      <c r="A466" s="5">
        <v>42736</v>
      </c>
      <c r="B466" s="1">
        <v>55</v>
      </c>
      <c r="C466" s="1">
        <v>70</v>
      </c>
      <c r="D466" s="2">
        <v>60000</v>
      </c>
      <c r="E466" s="2">
        <v>2347</v>
      </c>
      <c r="F466" s="3" t="s">
        <v>56</v>
      </c>
      <c r="G466" s="3" t="s">
        <v>484</v>
      </c>
      <c r="H466" s="44">
        <v>464</v>
      </c>
    </row>
    <row r="467" spans="1:8" x14ac:dyDescent="0.35">
      <c r="A467" s="5">
        <v>42736</v>
      </c>
      <c r="B467" s="1">
        <v>55</v>
      </c>
      <c r="C467" s="1">
        <v>70</v>
      </c>
      <c r="D467" s="2">
        <v>80000</v>
      </c>
      <c r="E467" s="2">
        <v>2830</v>
      </c>
      <c r="F467" s="3" t="s">
        <v>56</v>
      </c>
      <c r="G467" s="3" t="s">
        <v>732</v>
      </c>
      <c r="H467" s="44">
        <v>465</v>
      </c>
    </row>
    <row r="468" spans="1:8" x14ac:dyDescent="0.35">
      <c r="A468" s="5">
        <v>42736</v>
      </c>
      <c r="B468" s="1">
        <v>55</v>
      </c>
      <c r="C468" s="1">
        <v>70</v>
      </c>
      <c r="D468" s="2">
        <v>100000</v>
      </c>
      <c r="E468" s="2">
        <v>3098</v>
      </c>
      <c r="F468" s="3" t="s">
        <v>56</v>
      </c>
      <c r="G468" s="3" t="s">
        <v>322</v>
      </c>
      <c r="H468" s="44">
        <v>466</v>
      </c>
    </row>
    <row r="469" spans="1:8" x14ac:dyDescent="0.35">
      <c r="A469" s="5">
        <v>42736</v>
      </c>
      <c r="B469" s="1">
        <v>55</v>
      </c>
      <c r="C469" s="1">
        <v>70</v>
      </c>
      <c r="D469" s="2">
        <v>120000</v>
      </c>
      <c r="E469" s="2">
        <v>3365</v>
      </c>
      <c r="F469" s="3" t="s">
        <v>56</v>
      </c>
      <c r="G469" s="3" t="s">
        <v>439</v>
      </c>
      <c r="H469" s="44">
        <v>467</v>
      </c>
    </row>
    <row r="470" spans="1:8" x14ac:dyDescent="0.35">
      <c r="A470" s="5">
        <v>42736</v>
      </c>
      <c r="B470" s="1">
        <v>55</v>
      </c>
      <c r="C470" s="1">
        <v>70</v>
      </c>
      <c r="D470" s="2">
        <v>127200</v>
      </c>
      <c r="E470" s="2">
        <v>3461</v>
      </c>
      <c r="F470" s="3" t="s">
        <v>56</v>
      </c>
      <c r="G470" s="3" t="s">
        <v>606</v>
      </c>
      <c r="H470" s="44">
        <v>468</v>
      </c>
    </row>
    <row r="471" spans="1:8" x14ac:dyDescent="0.35">
      <c r="A471" s="5">
        <v>42736</v>
      </c>
      <c r="B471" s="1">
        <v>55</v>
      </c>
      <c r="C471" s="1">
        <v>75</v>
      </c>
      <c r="D471" s="2">
        <v>20000</v>
      </c>
      <c r="E471" s="2">
        <v>1239</v>
      </c>
      <c r="F471" s="3" t="s">
        <v>56</v>
      </c>
      <c r="G471" s="3" t="s">
        <v>657</v>
      </c>
      <c r="H471" s="44">
        <v>469</v>
      </c>
    </row>
    <row r="472" spans="1:8" x14ac:dyDescent="0.35">
      <c r="A472" s="5">
        <v>42736</v>
      </c>
      <c r="B472" s="1">
        <v>55</v>
      </c>
      <c r="C472" s="1">
        <v>75</v>
      </c>
      <c r="D472" s="2">
        <v>40000</v>
      </c>
      <c r="E472" s="2">
        <v>1843</v>
      </c>
      <c r="F472" s="3" t="s">
        <v>56</v>
      </c>
      <c r="G472" s="3" t="s">
        <v>571</v>
      </c>
      <c r="H472" s="44">
        <v>470</v>
      </c>
    </row>
    <row r="473" spans="1:8" x14ac:dyDescent="0.35">
      <c r="A473" s="5">
        <v>42736</v>
      </c>
      <c r="B473" s="1">
        <v>55</v>
      </c>
      <c r="C473" s="1">
        <v>75</v>
      </c>
      <c r="D473" s="2">
        <v>60000</v>
      </c>
      <c r="E473" s="2">
        <v>2447</v>
      </c>
      <c r="F473" s="3" t="s">
        <v>56</v>
      </c>
      <c r="G473" s="3" t="s">
        <v>80</v>
      </c>
      <c r="H473" s="44">
        <v>471</v>
      </c>
    </row>
    <row r="474" spans="1:8" x14ac:dyDescent="0.35">
      <c r="A474" s="5">
        <v>42736</v>
      </c>
      <c r="B474" s="1">
        <v>55</v>
      </c>
      <c r="C474" s="1">
        <v>75</v>
      </c>
      <c r="D474" s="2">
        <v>80000</v>
      </c>
      <c r="E474" s="2">
        <v>2892</v>
      </c>
      <c r="F474" s="3" t="s">
        <v>56</v>
      </c>
      <c r="G474" s="3" t="s">
        <v>697</v>
      </c>
      <c r="H474" s="44">
        <v>472</v>
      </c>
    </row>
    <row r="475" spans="1:8" x14ac:dyDescent="0.35">
      <c r="A475" s="5">
        <v>42736</v>
      </c>
      <c r="B475" s="1">
        <v>55</v>
      </c>
      <c r="C475" s="1">
        <v>75</v>
      </c>
      <c r="D475" s="2">
        <v>100000</v>
      </c>
      <c r="E475" s="2">
        <v>3175</v>
      </c>
      <c r="F475" s="3" t="s">
        <v>56</v>
      </c>
      <c r="G475" s="3" t="s">
        <v>527</v>
      </c>
      <c r="H475" s="44">
        <v>473</v>
      </c>
    </row>
    <row r="476" spans="1:8" x14ac:dyDescent="0.35">
      <c r="A476" s="5">
        <v>42736</v>
      </c>
      <c r="B476" s="1">
        <v>55</v>
      </c>
      <c r="C476" s="1">
        <v>75</v>
      </c>
      <c r="D476" s="2">
        <v>120000</v>
      </c>
      <c r="E476" s="2">
        <v>3458</v>
      </c>
      <c r="F476" s="3" t="s">
        <v>56</v>
      </c>
      <c r="G476" s="3" t="s">
        <v>216</v>
      </c>
      <c r="H476" s="44">
        <v>474</v>
      </c>
    </row>
    <row r="477" spans="1:8" x14ac:dyDescent="0.35">
      <c r="A477" s="5">
        <v>42736</v>
      </c>
      <c r="B477" s="1">
        <v>55</v>
      </c>
      <c r="C477" s="1">
        <v>75</v>
      </c>
      <c r="D477" s="2">
        <v>127200</v>
      </c>
      <c r="E477" s="2">
        <v>3560</v>
      </c>
      <c r="F477" s="3" t="s">
        <v>56</v>
      </c>
      <c r="G477" s="3" t="s">
        <v>756</v>
      </c>
      <c r="H477" s="44">
        <v>475</v>
      </c>
    </row>
    <row r="478" spans="1:8" x14ac:dyDescent="0.35">
      <c r="A478" s="5">
        <v>42736</v>
      </c>
      <c r="B478" s="1">
        <v>55</v>
      </c>
      <c r="C478" s="1">
        <v>80</v>
      </c>
      <c r="D478" s="2">
        <v>20000</v>
      </c>
      <c r="E478" s="2">
        <v>1266</v>
      </c>
      <c r="F478" s="3" t="s">
        <v>56</v>
      </c>
      <c r="G478" s="3" t="s">
        <v>663</v>
      </c>
      <c r="H478" s="44">
        <v>476</v>
      </c>
    </row>
    <row r="479" spans="1:8" x14ac:dyDescent="0.35">
      <c r="A479" s="5">
        <v>42736</v>
      </c>
      <c r="B479" s="1">
        <v>55</v>
      </c>
      <c r="C479" s="1">
        <v>80</v>
      </c>
      <c r="D479" s="2">
        <v>40000</v>
      </c>
      <c r="E479" s="2">
        <v>1897</v>
      </c>
      <c r="F479" s="3" t="s">
        <v>56</v>
      </c>
      <c r="G479" s="3" t="s">
        <v>444</v>
      </c>
      <c r="H479" s="44">
        <v>477</v>
      </c>
    </row>
    <row r="480" spans="1:8" x14ac:dyDescent="0.35">
      <c r="A480" s="5">
        <v>42736</v>
      </c>
      <c r="B480" s="1">
        <v>55</v>
      </c>
      <c r="C480" s="1">
        <v>80</v>
      </c>
      <c r="D480" s="2">
        <v>60000</v>
      </c>
      <c r="E480" s="2">
        <v>2527</v>
      </c>
      <c r="F480" s="3" t="s">
        <v>56</v>
      </c>
      <c r="G480" s="3" t="s">
        <v>771</v>
      </c>
      <c r="H480" s="44">
        <v>478</v>
      </c>
    </row>
    <row r="481" spans="1:8" x14ac:dyDescent="0.35">
      <c r="A481" s="5">
        <v>42736</v>
      </c>
      <c r="B481" s="1">
        <v>55</v>
      </c>
      <c r="C481" s="1">
        <v>80</v>
      </c>
      <c r="D481" s="2">
        <v>80000</v>
      </c>
      <c r="E481" s="2">
        <v>2943</v>
      </c>
      <c r="F481" s="3" t="s">
        <v>56</v>
      </c>
      <c r="G481" s="3" t="s">
        <v>51</v>
      </c>
      <c r="H481" s="44">
        <v>479</v>
      </c>
    </row>
    <row r="482" spans="1:8" x14ac:dyDescent="0.35">
      <c r="A482" s="5">
        <v>42736</v>
      </c>
      <c r="B482" s="1">
        <v>55</v>
      </c>
      <c r="C482" s="1">
        <v>80</v>
      </c>
      <c r="D482" s="2">
        <v>100000</v>
      </c>
      <c r="E482" s="2">
        <v>3238</v>
      </c>
      <c r="F482" s="3" t="s">
        <v>56</v>
      </c>
      <c r="G482" s="3" t="s">
        <v>299</v>
      </c>
      <c r="H482" s="44">
        <v>480</v>
      </c>
    </row>
    <row r="483" spans="1:8" x14ac:dyDescent="0.35">
      <c r="A483" s="5">
        <v>42736</v>
      </c>
      <c r="B483" s="1">
        <v>55</v>
      </c>
      <c r="C483" s="1">
        <v>80</v>
      </c>
      <c r="D483" s="2">
        <v>120000</v>
      </c>
      <c r="E483" s="2">
        <v>3533</v>
      </c>
      <c r="F483" s="3" t="s">
        <v>56</v>
      </c>
      <c r="G483" s="3" t="s">
        <v>500</v>
      </c>
      <c r="H483" s="44">
        <v>481</v>
      </c>
    </row>
    <row r="484" spans="1:8" x14ac:dyDescent="0.35">
      <c r="A484" s="5">
        <v>42736</v>
      </c>
      <c r="B484" s="1">
        <v>55</v>
      </c>
      <c r="C484" s="1">
        <v>80</v>
      </c>
      <c r="D484" s="2">
        <v>127200</v>
      </c>
      <c r="E484" s="2">
        <v>3640</v>
      </c>
      <c r="F484" s="3" t="s">
        <v>56</v>
      </c>
      <c r="G484" s="3" t="s">
        <v>397</v>
      </c>
      <c r="H484" s="44">
        <v>482</v>
      </c>
    </row>
    <row r="485" spans="1:8" x14ac:dyDescent="0.35">
      <c r="A485" s="5">
        <v>42736</v>
      </c>
      <c r="B485" s="1">
        <v>55</v>
      </c>
      <c r="C485" s="1">
        <v>85</v>
      </c>
      <c r="D485" s="2">
        <v>20000</v>
      </c>
      <c r="E485" s="2">
        <v>1286</v>
      </c>
      <c r="F485" s="3" t="s">
        <v>56</v>
      </c>
      <c r="G485" s="3" t="s">
        <v>195</v>
      </c>
      <c r="H485" s="44">
        <v>483</v>
      </c>
    </row>
    <row r="486" spans="1:8" x14ac:dyDescent="0.35">
      <c r="A486" s="5">
        <v>42736</v>
      </c>
      <c r="B486" s="1">
        <v>55</v>
      </c>
      <c r="C486" s="1">
        <v>85</v>
      </c>
      <c r="D486" s="2">
        <v>40000</v>
      </c>
      <c r="E486" s="2">
        <v>1936</v>
      </c>
      <c r="F486" s="3" t="s">
        <v>56</v>
      </c>
      <c r="G486" s="3" t="s">
        <v>565</v>
      </c>
      <c r="H486" s="44">
        <v>484</v>
      </c>
    </row>
    <row r="487" spans="1:8" x14ac:dyDescent="0.35">
      <c r="A487" s="5">
        <v>42736</v>
      </c>
      <c r="B487" s="1">
        <v>55</v>
      </c>
      <c r="C487" s="1">
        <v>85</v>
      </c>
      <c r="D487" s="2">
        <v>60000</v>
      </c>
      <c r="E487" s="2">
        <v>2585</v>
      </c>
      <c r="F487" s="3" t="s">
        <v>56</v>
      </c>
      <c r="G487" s="3" t="s">
        <v>659</v>
      </c>
      <c r="H487" s="44">
        <v>485</v>
      </c>
    </row>
    <row r="488" spans="1:8" x14ac:dyDescent="0.35">
      <c r="A488" s="5">
        <v>42736</v>
      </c>
      <c r="B488" s="1">
        <v>55</v>
      </c>
      <c r="C488" s="1">
        <v>85</v>
      </c>
      <c r="D488" s="2">
        <v>80000</v>
      </c>
      <c r="E488" s="2">
        <v>2979</v>
      </c>
      <c r="F488" s="3" t="s">
        <v>56</v>
      </c>
      <c r="G488" s="3" t="s">
        <v>438</v>
      </c>
      <c r="H488" s="44">
        <v>486</v>
      </c>
    </row>
    <row r="489" spans="1:8" x14ac:dyDescent="0.35">
      <c r="A489" s="5">
        <v>42736</v>
      </c>
      <c r="B489" s="1">
        <v>55</v>
      </c>
      <c r="C489" s="1">
        <v>85</v>
      </c>
      <c r="D489" s="2">
        <v>100000</v>
      </c>
      <c r="E489" s="2">
        <v>3284</v>
      </c>
      <c r="F489" s="3" t="s">
        <v>56</v>
      </c>
      <c r="G489" s="3" t="s">
        <v>1</v>
      </c>
      <c r="H489" s="44">
        <v>487</v>
      </c>
    </row>
    <row r="490" spans="1:8" x14ac:dyDescent="0.35">
      <c r="A490" s="5">
        <v>42736</v>
      </c>
      <c r="B490" s="1">
        <v>55</v>
      </c>
      <c r="C490" s="1">
        <v>85</v>
      </c>
      <c r="D490" s="2">
        <v>120000</v>
      </c>
      <c r="E490" s="2">
        <v>3589</v>
      </c>
      <c r="F490" s="3" t="s">
        <v>56</v>
      </c>
      <c r="G490" s="3" t="s">
        <v>21</v>
      </c>
      <c r="H490" s="44">
        <v>488</v>
      </c>
    </row>
    <row r="491" spans="1:8" x14ac:dyDescent="0.35">
      <c r="A491" s="5">
        <v>42736</v>
      </c>
      <c r="B491" s="1">
        <v>55</v>
      </c>
      <c r="C491" s="1">
        <v>85</v>
      </c>
      <c r="D491" s="2">
        <v>127200</v>
      </c>
      <c r="E491" s="2">
        <v>3698</v>
      </c>
      <c r="F491" s="3" t="s">
        <v>56</v>
      </c>
      <c r="G491" s="3" t="s">
        <v>424</v>
      </c>
      <c r="H491" s="44">
        <v>489</v>
      </c>
    </row>
    <row r="492" spans="1:8" x14ac:dyDescent="0.35">
      <c r="A492" s="5">
        <v>42736</v>
      </c>
      <c r="B492" s="1">
        <v>60</v>
      </c>
      <c r="C492" s="1">
        <v>62</v>
      </c>
      <c r="D492" s="2">
        <v>20000</v>
      </c>
      <c r="E492" s="2">
        <v>650</v>
      </c>
      <c r="F492" s="3" t="s">
        <v>56</v>
      </c>
      <c r="G492" s="3" t="s">
        <v>669</v>
      </c>
      <c r="H492" s="44">
        <v>490</v>
      </c>
    </row>
    <row r="493" spans="1:8" x14ac:dyDescent="0.35">
      <c r="A493" s="5">
        <v>42736</v>
      </c>
      <c r="B493" s="1">
        <v>60</v>
      </c>
      <c r="C493" s="1">
        <v>62</v>
      </c>
      <c r="D493" s="2">
        <v>40000</v>
      </c>
      <c r="E493" s="2">
        <v>929</v>
      </c>
      <c r="F493" s="3" t="s">
        <v>56</v>
      </c>
      <c r="G493" s="3" t="s">
        <v>380</v>
      </c>
      <c r="H493" s="44">
        <v>491</v>
      </c>
    </row>
    <row r="494" spans="1:8" x14ac:dyDescent="0.35">
      <c r="A494" s="5">
        <v>42736</v>
      </c>
      <c r="B494" s="1">
        <v>60</v>
      </c>
      <c r="C494" s="1">
        <v>62</v>
      </c>
      <c r="D494" s="2">
        <v>60000</v>
      </c>
      <c r="E494" s="2">
        <v>1203</v>
      </c>
      <c r="F494" s="3" t="s">
        <v>56</v>
      </c>
      <c r="G494" s="3" t="s">
        <v>50</v>
      </c>
      <c r="H494" s="44">
        <v>492</v>
      </c>
    </row>
    <row r="495" spans="1:8" x14ac:dyDescent="0.35">
      <c r="A495" s="5">
        <v>42736</v>
      </c>
      <c r="B495" s="1">
        <v>60</v>
      </c>
      <c r="C495" s="1">
        <v>62</v>
      </c>
      <c r="D495" s="2">
        <v>80000</v>
      </c>
      <c r="E495" s="2">
        <v>1478</v>
      </c>
      <c r="F495" s="3" t="s">
        <v>56</v>
      </c>
      <c r="G495" s="3" t="s">
        <v>428</v>
      </c>
      <c r="H495" s="44">
        <v>493</v>
      </c>
    </row>
    <row r="496" spans="1:8" x14ac:dyDescent="0.35">
      <c r="A496" s="5">
        <v>42736</v>
      </c>
      <c r="B496" s="1">
        <v>60</v>
      </c>
      <c r="C496" s="1">
        <v>62</v>
      </c>
      <c r="D496" s="2">
        <v>100000</v>
      </c>
      <c r="E496" s="2">
        <v>1696</v>
      </c>
      <c r="F496" s="3" t="s">
        <v>56</v>
      </c>
      <c r="G496" s="3" t="s">
        <v>305</v>
      </c>
      <c r="H496" s="44">
        <v>494</v>
      </c>
    </row>
    <row r="497" spans="1:8" x14ac:dyDescent="0.35">
      <c r="A497" s="5">
        <v>42736</v>
      </c>
      <c r="B497" s="1">
        <v>60</v>
      </c>
      <c r="C497" s="1">
        <v>62</v>
      </c>
      <c r="D497" s="2">
        <v>120000</v>
      </c>
      <c r="E497" s="2">
        <v>1824</v>
      </c>
      <c r="F497" s="3" t="s">
        <v>56</v>
      </c>
      <c r="G497" s="3" t="s">
        <v>587</v>
      </c>
      <c r="H497" s="44">
        <v>495</v>
      </c>
    </row>
    <row r="498" spans="1:8" x14ac:dyDescent="0.35">
      <c r="A498" s="5">
        <v>42736</v>
      </c>
      <c r="B498" s="1">
        <v>60</v>
      </c>
      <c r="C498" s="1">
        <v>62</v>
      </c>
      <c r="D498" s="2">
        <v>127200</v>
      </c>
      <c r="E498" s="2">
        <v>1871</v>
      </c>
      <c r="F498" s="3" t="s">
        <v>56</v>
      </c>
      <c r="G498" s="3" t="s">
        <v>97</v>
      </c>
      <c r="H498" s="44">
        <v>496</v>
      </c>
    </row>
    <row r="499" spans="1:8" x14ac:dyDescent="0.35">
      <c r="A499" s="5">
        <v>42736</v>
      </c>
      <c r="B499" s="1">
        <v>60</v>
      </c>
      <c r="C499" s="1">
        <v>65</v>
      </c>
      <c r="D499" s="2">
        <v>20000</v>
      </c>
      <c r="E499" s="2">
        <v>830</v>
      </c>
      <c r="F499" s="3" t="s">
        <v>56</v>
      </c>
      <c r="G499" s="3" t="s">
        <v>301</v>
      </c>
      <c r="H499" s="44">
        <v>497</v>
      </c>
    </row>
    <row r="500" spans="1:8" x14ac:dyDescent="0.35">
      <c r="A500" s="5">
        <v>42736</v>
      </c>
      <c r="B500" s="1">
        <v>60</v>
      </c>
      <c r="C500" s="1">
        <v>65</v>
      </c>
      <c r="D500" s="2">
        <v>40000</v>
      </c>
      <c r="E500" s="2">
        <v>1198</v>
      </c>
      <c r="F500" s="3" t="s">
        <v>56</v>
      </c>
      <c r="G500" s="3" t="s">
        <v>677</v>
      </c>
      <c r="H500" s="44">
        <v>498</v>
      </c>
    </row>
    <row r="501" spans="1:8" x14ac:dyDescent="0.35">
      <c r="A501" s="5">
        <v>42736</v>
      </c>
      <c r="B501" s="1">
        <v>60</v>
      </c>
      <c r="C501" s="1">
        <v>65</v>
      </c>
      <c r="D501" s="2">
        <v>60000</v>
      </c>
      <c r="E501" s="2">
        <v>1561</v>
      </c>
      <c r="F501" s="3" t="s">
        <v>56</v>
      </c>
      <c r="G501" s="3" t="s">
        <v>64</v>
      </c>
      <c r="H501" s="44">
        <v>499</v>
      </c>
    </row>
    <row r="502" spans="1:8" x14ac:dyDescent="0.35">
      <c r="A502" s="5">
        <v>42736</v>
      </c>
      <c r="B502" s="1">
        <v>60</v>
      </c>
      <c r="C502" s="1">
        <v>65</v>
      </c>
      <c r="D502" s="2">
        <v>80000</v>
      </c>
      <c r="E502" s="2">
        <v>1923</v>
      </c>
      <c r="F502" s="3" t="s">
        <v>56</v>
      </c>
      <c r="G502" s="3" t="s">
        <v>351</v>
      </c>
      <c r="H502" s="44">
        <v>500</v>
      </c>
    </row>
    <row r="503" spans="1:8" x14ac:dyDescent="0.35">
      <c r="A503" s="5">
        <v>42736</v>
      </c>
      <c r="B503" s="1">
        <v>60</v>
      </c>
      <c r="C503" s="1">
        <v>65</v>
      </c>
      <c r="D503" s="2">
        <v>100000</v>
      </c>
      <c r="E503" s="2">
        <v>2159</v>
      </c>
      <c r="F503" s="3" t="s">
        <v>56</v>
      </c>
      <c r="G503" s="3" t="s">
        <v>247</v>
      </c>
      <c r="H503" s="44">
        <v>501</v>
      </c>
    </row>
    <row r="504" spans="1:8" x14ac:dyDescent="0.35">
      <c r="A504" s="5">
        <v>42736</v>
      </c>
      <c r="B504" s="1">
        <v>60</v>
      </c>
      <c r="C504" s="1">
        <v>65</v>
      </c>
      <c r="D504" s="2">
        <v>120000</v>
      </c>
      <c r="E504" s="2">
        <v>2329</v>
      </c>
      <c r="F504" s="3" t="s">
        <v>56</v>
      </c>
      <c r="G504" s="3" t="s">
        <v>487</v>
      </c>
      <c r="H504" s="44">
        <v>502</v>
      </c>
    </row>
    <row r="505" spans="1:8" x14ac:dyDescent="0.35">
      <c r="A505" s="5">
        <v>42736</v>
      </c>
      <c r="B505" s="1">
        <v>60</v>
      </c>
      <c r="C505" s="1">
        <v>65</v>
      </c>
      <c r="D505" s="2">
        <v>127200</v>
      </c>
      <c r="E505" s="2">
        <v>2390</v>
      </c>
      <c r="F505" s="3" t="s">
        <v>56</v>
      </c>
      <c r="G505" s="3" t="s">
        <v>709</v>
      </c>
      <c r="H505" s="44">
        <v>503</v>
      </c>
    </row>
    <row r="506" spans="1:8" x14ac:dyDescent="0.35">
      <c r="A506" s="5">
        <v>42736</v>
      </c>
      <c r="B506" s="1">
        <v>60</v>
      </c>
      <c r="C506" s="1">
        <v>67</v>
      </c>
      <c r="D506" s="2">
        <v>20000</v>
      </c>
      <c r="E506" s="2">
        <v>976</v>
      </c>
      <c r="F506" s="3" t="s">
        <v>56</v>
      </c>
      <c r="G506" s="3" t="s">
        <v>379</v>
      </c>
      <c r="H506" s="44">
        <v>504</v>
      </c>
    </row>
    <row r="507" spans="1:8" x14ac:dyDescent="0.35">
      <c r="A507" s="5">
        <v>42736</v>
      </c>
      <c r="B507" s="1">
        <v>60</v>
      </c>
      <c r="C507" s="1">
        <v>67</v>
      </c>
      <c r="D507" s="2">
        <v>40000</v>
      </c>
      <c r="E507" s="2">
        <v>1417</v>
      </c>
      <c r="F507" s="3" t="s">
        <v>56</v>
      </c>
      <c r="G507" s="3" t="s">
        <v>632</v>
      </c>
      <c r="H507" s="44">
        <v>505</v>
      </c>
    </row>
    <row r="508" spans="1:8" x14ac:dyDescent="0.35">
      <c r="A508" s="5">
        <v>42736</v>
      </c>
      <c r="B508" s="1">
        <v>60</v>
      </c>
      <c r="C508" s="1">
        <v>67</v>
      </c>
      <c r="D508" s="2">
        <v>60000</v>
      </c>
      <c r="E508" s="2">
        <v>1852</v>
      </c>
      <c r="F508" s="3" t="s">
        <v>56</v>
      </c>
      <c r="G508" s="3" t="s">
        <v>544</v>
      </c>
      <c r="H508" s="44">
        <v>506</v>
      </c>
    </row>
    <row r="509" spans="1:8" x14ac:dyDescent="0.35">
      <c r="A509" s="5">
        <v>42736</v>
      </c>
      <c r="B509" s="1">
        <v>60</v>
      </c>
      <c r="C509" s="1">
        <v>67</v>
      </c>
      <c r="D509" s="2">
        <v>80000</v>
      </c>
      <c r="E509" s="2">
        <v>2287</v>
      </c>
      <c r="F509" s="3" t="s">
        <v>56</v>
      </c>
      <c r="G509" s="3" t="s">
        <v>764</v>
      </c>
      <c r="H509" s="44">
        <v>507</v>
      </c>
    </row>
    <row r="510" spans="1:8" x14ac:dyDescent="0.35">
      <c r="A510" s="5">
        <v>42736</v>
      </c>
      <c r="B510" s="1">
        <v>60</v>
      </c>
      <c r="C510" s="1">
        <v>67</v>
      </c>
      <c r="D510" s="2">
        <v>100000</v>
      </c>
      <c r="E510" s="2">
        <v>2534</v>
      </c>
      <c r="F510" s="3" t="s">
        <v>56</v>
      </c>
      <c r="G510" s="3" t="s">
        <v>680</v>
      </c>
      <c r="H510" s="44">
        <v>508</v>
      </c>
    </row>
    <row r="511" spans="1:8" x14ac:dyDescent="0.35">
      <c r="A511" s="5">
        <v>42736</v>
      </c>
      <c r="B511" s="1">
        <v>60</v>
      </c>
      <c r="C511" s="1">
        <v>67</v>
      </c>
      <c r="D511" s="2">
        <v>120000</v>
      </c>
      <c r="E511" s="2">
        <v>2738</v>
      </c>
      <c r="F511" s="3" t="s">
        <v>56</v>
      </c>
      <c r="G511" s="3" t="s">
        <v>171</v>
      </c>
      <c r="H511" s="44">
        <v>509</v>
      </c>
    </row>
    <row r="512" spans="1:8" x14ac:dyDescent="0.35">
      <c r="A512" s="5">
        <v>42736</v>
      </c>
      <c r="B512" s="1">
        <v>60</v>
      </c>
      <c r="C512" s="1">
        <v>67</v>
      </c>
      <c r="D512" s="2">
        <v>127200</v>
      </c>
      <c r="E512" s="2">
        <v>2811</v>
      </c>
      <c r="F512" s="3" t="s">
        <v>56</v>
      </c>
      <c r="G512" s="3" t="s">
        <v>507</v>
      </c>
      <c r="H512" s="44">
        <v>510</v>
      </c>
    </row>
    <row r="513" spans="1:8" x14ac:dyDescent="0.35">
      <c r="A513" s="5">
        <v>42736</v>
      </c>
      <c r="B513" s="1">
        <v>60</v>
      </c>
      <c r="C513" s="1">
        <v>70</v>
      </c>
      <c r="D513" s="2">
        <v>20000</v>
      </c>
      <c r="E513" s="2">
        <v>1217</v>
      </c>
      <c r="F513" s="3" t="s">
        <v>56</v>
      </c>
      <c r="G513" s="3" t="s">
        <v>163</v>
      </c>
      <c r="H513" s="44">
        <v>511</v>
      </c>
    </row>
    <row r="514" spans="1:8" x14ac:dyDescent="0.35">
      <c r="A514" s="5">
        <v>42736</v>
      </c>
      <c r="B514" s="1">
        <v>60</v>
      </c>
      <c r="C514" s="1">
        <v>70</v>
      </c>
      <c r="D514" s="2">
        <v>40000</v>
      </c>
      <c r="E514" s="2">
        <v>1773</v>
      </c>
      <c r="F514" s="3" t="s">
        <v>56</v>
      </c>
      <c r="G514" s="3" t="s">
        <v>166</v>
      </c>
      <c r="H514" s="44">
        <v>512</v>
      </c>
    </row>
    <row r="515" spans="1:8" x14ac:dyDescent="0.35">
      <c r="A515" s="5">
        <v>42736</v>
      </c>
      <c r="B515" s="1">
        <v>60</v>
      </c>
      <c r="C515" s="1">
        <v>70</v>
      </c>
      <c r="D515" s="2">
        <v>60000</v>
      </c>
      <c r="E515" s="2">
        <v>2327</v>
      </c>
      <c r="F515" s="3" t="s">
        <v>56</v>
      </c>
      <c r="G515" s="3" t="s">
        <v>560</v>
      </c>
      <c r="H515" s="44">
        <v>513</v>
      </c>
    </row>
    <row r="516" spans="1:8" x14ac:dyDescent="0.35">
      <c r="A516" s="5">
        <v>42736</v>
      </c>
      <c r="B516" s="1">
        <v>60</v>
      </c>
      <c r="C516" s="1">
        <v>70</v>
      </c>
      <c r="D516" s="2">
        <v>80000</v>
      </c>
      <c r="E516" s="2">
        <v>2876</v>
      </c>
      <c r="F516" s="3" t="s">
        <v>56</v>
      </c>
      <c r="G516" s="3" t="s">
        <v>158</v>
      </c>
      <c r="H516" s="44">
        <v>514</v>
      </c>
    </row>
    <row r="517" spans="1:8" x14ac:dyDescent="0.35">
      <c r="A517" s="5">
        <v>42736</v>
      </c>
      <c r="B517" s="1">
        <v>60</v>
      </c>
      <c r="C517" s="1">
        <v>70</v>
      </c>
      <c r="D517" s="2">
        <v>100000</v>
      </c>
      <c r="E517" s="2">
        <v>3136</v>
      </c>
      <c r="F517" s="3" t="s">
        <v>56</v>
      </c>
      <c r="G517" s="3" t="s">
        <v>526</v>
      </c>
      <c r="H517" s="44">
        <v>515</v>
      </c>
    </row>
    <row r="518" spans="1:8" x14ac:dyDescent="0.35">
      <c r="A518" s="5">
        <v>42736</v>
      </c>
      <c r="B518" s="1">
        <v>60</v>
      </c>
      <c r="C518" s="1">
        <v>70</v>
      </c>
      <c r="D518" s="2">
        <v>120000</v>
      </c>
      <c r="E518" s="2">
        <v>3396</v>
      </c>
      <c r="F518" s="3" t="s">
        <v>56</v>
      </c>
      <c r="G518" s="3" t="s">
        <v>49</v>
      </c>
      <c r="H518" s="44">
        <v>516</v>
      </c>
    </row>
    <row r="519" spans="1:8" x14ac:dyDescent="0.35">
      <c r="A519" s="5">
        <v>42736</v>
      </c>
      <c r="B519" s="1">
        <v>60</v>
      </c>
      <c r="C519" s="1">
        <v>70</v>
      </c>
      <c r="D519" s="2">
        <v>127200</v>
      </c>
      <c r="E519" s="2">
        <v>3489</v>
      </c>
      <c r="F519" s="3" t="s">
        <v>56</v>
      </c>
      <c r="G519" s="3" t="s">
        <v>619</v>
      </c>
      <c r="H519" s="44">
        <v>517</v>
      </c>
    </row>
    <row r="520" spans="1:8" x14ac:dyDescent="0.35">
      <c r="A520" s="5">
        <v>42736</v>
      </c>
      <c r="B520" s="1">
        <v>60</v>
      </c>
      <c r="C520" s="1">
        <v>75</v>
      </c>
      <c r="D520" s="2">
        <v>20000</v>
      </c>
      <c r="E520" s="2">
        <v>1258</v>
      </c>
      <c r="F520" s="3" t="s">
        <v>56</v>
      </c>
      <c r="G520" s="3" t="s">
        <v>531</v>
      </c>
      <c r="H520" s="44">
        <v>518</v>
      </c>
    </row>
    <row r="521" spans="1:8" x14ac:dyDescent="0.35">
      <c r="A521" s="5">
        <v>42736</v>
      </c>
      <c r="B521" s="1">
        <v>60</v>
      </c>
      <c r="C521" s="1">
        <v>75</v>
      </c>
      <c r="D521" s="2">
        <v>40000</v>
      </c>
      <c r="E521" s="2">
        <v>1854</v>
      </c>
      <c r="F521" s="3" t="s">
        <v>56</v>
      </c>
      <c r="G521" s="3" t="s">
        <v>259</v>
      </c>
      <c r="H521" s="44">
        <v>519</v>
      </c>
    </row>
    <row r="522" spans="1:8" x14ac:dyDescent="0.35">
      <c r="A522" s="5">
        <v>42736</v>
      </c>
      <c r="B522" s="1">
        <v>60</v>
      </c>
      <c r="C522" s="1">
        <v>75</v>
      </c>
      <c r="D522" s="2">
        <v>60000</v>
      </c>
      <c r="E522" s="2">
        <v>2448</v>
      </c>
      <c r="F522" s="3" t="s">
        <v>56</v>
      </c>
      <c r="G522" s="3" t="s">
        <v>437</v>
      </c>
      <c r="H522" s="44">
        <v>520</v>
      </c>
    </row>
    <row r="523" spans="1:8" x14ac:dyDescent="0.35">
      <c r="A523" s="5">
        <v>42736</v>
      </c>
      <c r="B523" s="1">
        <v>60</v>
      </c>
      <c r="C523" s="1">
        <v>75</v>
      </c>
      <c r="D523" s="2">
        <v>80000</v>
      </c>
      <c r="E523" s="2">
        <v>2952</v>
      </c>
      <c r="F523" s="3" t="s">
        <v>56</v>
      </c>
      <c r="G523" s="3" t="s">
        <v>631</v>
      </c>
      <c r="H523" s="44">
        <v>521</v>
      </c>
    </row>
    <row r="524" spans="1:8" x14ac:dyDescent="0.35">
      <c r="A524" s="5">
        <v>42736</v>
      </c>
      <c r="B524" s="1">
        <v>60</v>
      </c>
      <c r="C524" s="1">
        <v>75</v>
      </c>
      <c r="D524" s="2">
        <v>100000</v>
      </c>
      <c r="E524" s="2">
        <v>3231</v>
      </c>
      <c r="F524" s="3" t="s">
        <v>56</v>
      </c>
      <c r="G524" s="3" t="s">
        <v>288</v>
      </c>
      <c r="H524" s="44">
        <v>522</v>
      </c>
    </row>
    <row r="525" spans="1:8" x14ac:dyDescent="0.35">
      <c r="A525" s="5">
        <v>42736</v>
      </c>
      <c r="B525" s="1">
        <v>60</v>
      </c>
      <c r="C525" s="1">
        <v>75</v>
      </c>
      <c r="D525" s="2">
        <v>120000</v>
      </c>
      <c r="E525" s="2">
        <v>3510</v>
      </c>
      <c r="F525" s="3" t="s">
        <v>56</v>
      </c>
      <c r="G525" s="3" t="s">
        <v>546</v>
      </c>
      <c r="H525" s="44">
        <v>523</v>
      </c>
    </row>
    <row r="526" spans="1:8" x14ac:dyDescent="0.35">
      <c r="A526" s="5">
        <v>42736</v>
      </c>
      <c r="B526" s="1">
        <v>60</v>
      </c>
      <c r="C526" s="1">
        <v>75</v>
      </c>
      <c r="D526" s="2">
        <v>127200</v>
      </c>
      <c r="E526" s="2">
        <v>3610</v>
      </c>
      <c r="F526" s="3" t="s">
        <v>56</v>
      </c>
      <c r="G526" s="3" t="s">
        <v>48</v>
      </c>
      <c r="H526" s="44">
        <v>524</v>
      </c>
    </row>
    <row r="527" spans="1:8" x14ac:dyDescent="0.35">
      <c r="A527" s="5">
        <v>42736</v>
      </c>
      <c r="B527" s="1">
        <v>60</v>
      </c>
      <c r="C527" s="1">
        <v>80</v>
      </c>
      <c r="D527" s="2">
        <v>20000</v>
      </c>
      <c r="E527" s="2">
        <v>1292</v>
      </c>
      <c r="F527" s="3" t="s">
        <v>56</v>
      </c>
      <c r="G527" s="3" t="s">
        <v>576</v>
      </c>
      <c r="H527" s="44">
        <v>525</v>
      </c>
    </row>
    <row r="528" spans="1:8" x14ac:dyDescent="0.35">
      <c r="A528" s="5">
        <v>42736</v>
      </c>
      <c r="B528" s="1">
        <v>60</v>
      </c>
      <c r="C528" s="1">
        <v>80</v>
      </c>
      <c r="D528" s="2">
        <v>40000</v>
      </c>
      <c r="E528" s="2">
        <v>1922</v>
      </c>
      <c r="F528" s="3" t="s">
        <v>56</v>
      </c>
      <c r="G528" s="3" t="s">
        <v>293</v>
      </c>
      <c r="H528" s="44">
        <v>526</v>
      </c>
    </row>
    <row r="529" spans="1:8" x14ac:dyDescent="0.35">
      <c r="A529" s="5">
        <v>42736</v>
      </c>
      <c r="B529" s="1">
        <v>60</v>
      </c>
      <c r="C529" s="1">
        <v>80</v>
      </c>
      <c r="D529" s="2">
        <v>60000</v>
      </c>
      <c r="E529" s="2">
        <v>2552</v>
      </c>
      <c r="F529" s="3" t="s">
        <v>56</v>
      </c>
      <c r="G529" s="3" t="s">
        <v>638</v>
      </c>
      <c r="H529" s="44">
        <v>527</v>
      </c>
    </row>
    <row r="530" spans="1:8" x14ac:dyDescent="0.35">
      <c r="A530" s="5">
        <v>42736</v>
      </c>
      <c r="B530" s="1">
        <v>60</v>
      </c>
      <c r="C530" s="1">
        <v>80</v>
      </c>
      <c r="D530" s="2">
        <v>80000</v>
      </c>
      <c r="E530" s="2">
        <v>3017</v>
      </c>
      <c r="F530" s="3" t="s">
        <v>56</v>
      </c>
      <c r="G530" s="3" t="s">
        <v>241</v>
      </c>
      <c r="H530" s="44">
        <v>528</v>
      </c>
    </row>
    <row r="531" spans="1:8" x14ac:dyDescent="0.35">
      <c r="A531" s="5">
        <v>42736</v>
      </c>
      <c r="B531" s="1">
        <v>60</v>
      </c>
      <c r="C531" s="1">
        <v>80</v>
      </c>
      <c r="D531" s="2">
        <v>100000</v>
      </c>
      <c r="E531" s="2">
        <v>3312</v>
      </c>
      <c r="F531" s="3" t="s">
        <v>56</v>
      </c>
      <c r="G531" s="3" t="s">
        <v>582</v>
      </c>
      <c r="H531" s="44">
        <v>529</v>
      </c>
    </row>
    <row r="532" spans="1:8" x14ac:dyDescent="0.35">
      <c r="A532" s="5">
        <v>42736</v>
      </c>
      <c r="B532" s="1">
        <v>60</v>
      </c>
      <c r="C532" s="1">
        <v>80</v>
      </c>
      <c r="D532" s="2">
        <v>120000</v>
      </c>
      <c r="E532" s="2">
        <v>3607</v>
      </c>
      <c r="F532" s="3" t="s">
        <v>56</v>
      </c>
      <c r="G532" s="3" t="s">
        <v>43</v>
      </c>
      <c r="H532" s="44">
        <v>530</v>
      </c>
    </row>
    <row r="533" spans="1:8" x14ac:dyDescent="0.35">
      <c r="A533" s="5">
        <v>42736</v>
      </c>
      <c r="B533" s="1">
        <v>60</v>
      </c>
      <c r="C533" s="1">
        <v>80</v>
      </c>
      <c r="D533" s="2">
        <v>127200</v>
      </c>
      <c r="E533" s="2">
        <v>3713</v>
      </c>
      <c r="F533" s="3" t="s">
        <v>56</v>
      </c>
      <c r="G533" s="3" t="s">
        <v>683</v>
      </c>
      <c r="H533" s="44">
        <v>531</v>
      </c>
    </row>
    <row r="534" spans="1:8" x14ac:dyDescent="0.35">
      <c r="A534" s="5">
        <v>42736</v>
      </c>
      <c r="B534" s="1">
        <v>60</v>
      </c>
      <c r="C534" s="1">
        <v>85</v>
      </c>
      <c r="D534" s="2">
        <v>20000</v>
      </c>
      <c r="E534" s="2">
        <v>1321</v>
      </c>
      <c r="F534" s="3" t="s">
        <v>56</v>
      </c>
      <c r="G534" s="3" t="s">
        <v>652</v>
      </c>
      <c r="H534" s="44">
        <v>532</v>
      </c>
    </row>
    <row r="535" spans="1:8" x14ac:dyDescent="0.35">
      <c r="A535" s="5">
        <v>42736</v>
      </c>
      <c r="B535" s="1">
        <v>60</v>
      </c>
      <c r="C535" s="1">
        <v>85</v>
      </c>
      <c r="D535" s="2">
        <v>40000</v>
      </c>
      <c r="E535" s="2">
        <v>1978</v>
      </c>
      <c r="F535" s="3" t="s">
        <v>56</v>
      </c>
      <c r="G535" s="3" t="s">
        <v>515</v>
      </c>
      <c r="H535" s="44">
        <v>533</v>
      </c>
    </row>
    <row r="536" spans="1:8" x14ac:dyDescent="0.35">
      <c r="A536" s="5">
        <v>42736</v>
      </c>
      <c r="B536" s="1">
        <v>60</v>
      </c>
      <c r="C536" s="1">
        <v>85</v>
      </c>
      <c r="D536" s="2">
        <v>60000</v>
      </c>
      <c r="E536" s="2">
        <v>2635</v>
      </c>
      <c r="F536" s="3" t="s">
        <v>56</v>
      </c>
      <c r="G536" s="3" t="s">
        <v>682</v>
      </c>
      <c r="H536" s="44">
        <v>534</v>
      </c>
    </row>
    <row r="537" spans="1:8" x14ac:dyDescent="0.35">
      <c r="A537" s="5">
        <v>42736</v>
      </c>
      <c r="B537" s="1">
        <v>60</v>
      </c>
      <c r="C537" s="1">
        <v>85</v>
      </c>
      <c r="D537" s="2">
        <v>80000</v>
      </c>
      <c r="E537" s="2">
        <v>3069</v>
      </c>
      <c r="F537" s="3" t="s">
        <v>56</v>
      </c>
      <c r="G537" s="3" t="s">
        <v>603</v>
      </c>
      <c r="H537" s="44">
        <v>535</v>
      </c>
    </row>
    <row r="538" spans="1:8" x14ac:dyDescent="0.35">
      <c r="A538" s="5">
        <v>42736</v>
      </c>
      <c r="B538" s="1">
        <v>60</v>
      </c>
      <c r="C538" s="1">
        <v>85</v>
      </c>
      <c r="D538" s="2">
        <v>100000</v>
      </c>
      <c r="E538" s="2">
        <v>3377</v>
      </c>
      <c r="F538" s="3" t="s">
        <v>56</v>
      </c>
      <c r="G538" s="3" t="s">
        <v>66</v>
      </c>
      <c r="H538" s="44">
        <v>536</v>
      </c>
    </row>
    <row r="539" spans="1:8" x14ac:dyDescent="0.35">
      <c r="A539" s="5">
        <v>42736</v>
      </c>
      <c r="B539" s="1">
        <v>60</v>
      </c>
      <c r="C539" s="1">
        <v>85</v>
      </c>
      <c r="D539" s="2">
        <v>120000</v>
      </c>
      <c r="E539" s="2">
        <v>3685</v>
      </c>
      <c r="F539" s="3" t="s">
        <v>56</v>
      </c>
      <c r="G539" s="3" t="s">
        <v>447</v>
      </c>
      <c r="H539" s="44">
        <v>537</v>
      </c>
    </row>
    <row r="540" spans="1:8" x14ac:dyDescent="0.35">
      <c r="A540" s="5">
        <v>42736</v>
      </c>
      <c r="B540" s="1">
        <v>60</v>
      </c>
      <c r="C540" s="1">
        <v>85</v>
      </c>
      <c r="D540" s="2">
        <v>127200</v>
      </c>
      <c r="E540" s="2">
        <v>3796</v>
      </c>
      <c r="F540" s="3" t="s">
        <v>56</v>
      </c>
      <c r="G540" s="3" t="s">
        <v>11</v>
      </c>
      <c r="H540" s="44">
        <v>538</v>
      </c>
    </row>
    <row r="541" spans="1:8" x14ac:dyDescent="0.35">
      <c r="A541" s="5">
        <v>42736</v>
      </c>
      <c r="B541" s="1">
        <v>65</v>
      </c>
      <c r="C541" s="1">
        <v>62</v>
      </c>
      <c r="D541" s="2">
        <v>20000</v>
      </c>
      <c r="E541" s="2">
        <v>0</v>
      </c>
      <c r="F541" s="3" t="s">
        <v>56</v>
      </c>
      <c r="G541" s="3" t="s">
        <v>377</v>
      </c>
      <c r="H541" s="44">
        <v>539</v>
      </c>
    </row>
    <row r="542" spans="1:8" x14ac:dyDescent="0.35">
      <c r="A542" s="5">
        <v>42736</v>
      </c>
      <c r="B542" s="1">
        <v>65</v>
      </c>
      <c r="C542" s="1">
        <v>62</v>
      </c>
      <c r="D542" s="2">
        <v>40000</v>
      </c>
      <c r="E542" s="2">
        <v>0</v>
      </c>
      <c r="F542" s="3" t="s">
        <v>56</v>
      </c>
      <c r="G542" s="3" t="s">
        <v>67</v>
      </c>
      <c r="H542" s="44">
        <v>540</v>
      </c>
    </row>
    <row r="543" spans="1:8" x14ac:dyDescent="0.35">
      <c r="A543" s="5">
        <v>42736</v>
      </c>
      <c r="B543" s="1">
        <v>65</v>
      </c>
      <c r="C543" s="1">
        <v>62</v>
      </c>
      <c r="D543" s="2">
        <v>60000</v>
      </c>
      <c r="E543" s="2">
        <v>0</v>
      </c>
      <c r="F543" s="3" t="s">
        <v>56</v>
      </c>
      <c r="G543" s="3" t="s">
        <v>713</v>
      </c>
      <c r="H543" s="44">
        <v>541</v>
      </c>
    </row>
    <row r="544" spans="1:8" x14ac:dyDescent="0.35">
      <c r="A544" s="5">
        <v>42736</v>
      </c>
      <c r="B544" s="1">
        <v>65</v>
      </c>
      <c r="C544" s="1">
        <v>62</v>
      </c>
      <c r="D544" s="2">
        <v>80000</v>
      </c>
      <c r="E544" s="2">
        <v>0</v>
      </c>
      <c r="F544" s="3" t="s">
        <v>56</v>
      </c>
      <c r="G544" s="3" t="s">
        <v>281</v>
      </c>
      <c r="H544" s="44">
        <v>542</v>
      </c>
    </row>
    <row r="545" spans="1:8" x14ac:dyDescent="0.35">
      <c r="A545" s="5">
        <v>42736</v>
      </c>
      <c r="B545" s="1">
        <v>65</v>
      </c>
      <c r="C545" s="1">
        <v>62</v>
      </c>
      <c r="D545" s="2">
        <v>100000</v>
      </c>
      <c r="E545" s="2">
        <v>0</v>
      </c>
      <c r="F545" s="3" t="s">
        <v>56</v>
      </c>
      <c r="G545" s="3" t="s">
        <v>602</v>
      </c>
      <c r="H545" s="44">
        <v>543</v>
      </c>
    </row>
    <row r="546" spans="1:8" x14ac:dyDescent="0.35">
      <c r="A546" s="5">
        <v>42736</v>
      </c>
      <c r="B546" s="1">
        <v>65</v>
      </c>
      <c r="C546" s="1">
        <v>62</v>
      </c>
      <c r="D546" s="2">
        <v>120000</v>
      </c>
      <c r="E546" s="2">
        <v>0</v>
      </c>
      <c r="F546" s="3" t="s">
        <v>56</v>
      </c>
      <c r="G546" s="3" t="s">
        <v>559</v>
      </c>
      <c r="H546" s="44">
        <v>544</v>
      </c>
    </row>
    <row r="547" spans="1:8" x14ac:dyDescent="0.35">
      <c r="A547" s="5">
        <v>42736</v>
      </c>
      <c r="B547" s="1">
        <v>65</v>
      </c>
      <c r="C547" s="1">
        <v>62</v>
      </c>
      <c r="D547" s="2">
        <v>127200</v>
      </c>
      <c r="E547" s="2">
        <v>0</v>
      </c>
      <c r="F547" s="3" t="s">
        <v>56</v>
      </c>
      <c r="G547" s="3" t="s">
        <v>315</v>
      </c>
      <c r="H547" s="44">
        <v>545</v>
      </c>
    </row>
    <row r="548" spans="1:8" x14ac:dyDescent="0.35">
      <c r="A548" s="5">
        <v>42736</v>
      </c>
      <c r="B548" s="1">
        <v>65</v>
      </c>
      <c r="C548" s="1">
        <v>65</v>
      </c>
      <c r="D548" s="2">
        <v>20000</v>
      </c>
      <c r="E548" s="2">
        <v>761</v>
      </c>
      <c r="F548" s="3" t="s">
        <v>56</v>
      </c>
      <c r="G548" s="3" t="s">
        <v>423</v>
      </c>
      <c r="H548" s="44">
        <v>546</v>
      </c>
    </row>
    <row r="549" spans="1:8" x14ac:dyDescent="0.35">
      <c r="A549" s="5">
        <v>42736</v>
      </c>
      <c r="B549" s="1">
        <v>65</v>
      </c>
      <c r="C549" s="1">
        <v>65</v>
      </c>
      <c r="D549" s="2">
        <v>40000</v>
      </c>
      <c r="E549" s="2">
        <v>1076</v>
      </c>
      <c r="F549" s="3" t="s">
        <v>56</v>
      </c>
      <c r="G549" s="3" t="s">
        <v>499</v>
      </c>
      <c r="H549" s="44">
        <v>547</v>
      </c>
    </row>
    <row r="550" spans="1:8" x14ac:dyDescent="0.35">
      <c r="A550" s="5">
        <v>42736</v>
      </c>
      <c r="B550" s="1">
        <v>65</v>
      </c>
      <c r="C550" s="1">
        <v>65</v>
      </c>
      <c r="D550" s="2">
        <v>60000</v>
      </c>
      <c r="E550" s="2">
        <v>1389</v>
      </c>
      <c r="F550" s="3" t="s">
        <v>56</v>
      </c>
      <c r="G550" s="3" t="s">
        <v>319</v>
      </c>
      <c r="H550" s="44">
        <v>548</v>
      </c>
    </row>
    <row r="551" spans="1:8" x14ac:dyDescent="0.35">
      <c r="A551" s="5">
        <v>42736</v>
      </c>
      <c r="B551" s="1">
        <v>65</v>
      </c>
      <c r="C551" s="1">
        <v>65</v>
      </c>
      <c r="D551" s="2">
        <v>80000</v>
      </c>
      <c r="E551" s="2">
        <v>1703</v>
      </c>
      <c r="F551" s="3" t="s">
        <v>56</v>
      </c>
      <c r="G551" s="3" t="s">
        <v>599</v>
      </c>
      <c r="H551" s="44">
        <v>549</v>
      </c>
    </row>
    <row r="552" spans="1:8" x14ac:dyDescent="0.35">
      <c r="A552" s="5">
        <v>42736</v>
      </c>
      <c r="B552" s="1">
        <v>65</v>
      </c>
      <c r="C552" s="1">
        <v>65</v>
      </c>
      <c r="D552" s="2">
        <v>100000</v>
      </c>
      <c r="E552" s="2">
        <v>1976</v>
      </c>
      <c r="F552" s="3" t="s">
        <v>56</v>
      </c>
      <c r="G552" s="3" t="s">
        <v>406</v>
      </c>
      <c r="H552" s="44">
        <v>550</v>
      </c>
    </row>
    <row r="553" spans="1:8" x14ac:dyDescent="0.35">
      <c r="A553" s="5">
        <v>42736</v>
      </c>
      <c r="B553" s="1">
        <v>65</v>
      </c>
      <c r="C553" s="1">
        <v>65</v>
      </c>
      <c r="D553" s="2">
        <v>120000</v>
      </c>
      <c r="E553" s="2">
        <v>2123</v>
      </c>
      <c r="F553" s="3" t="s">
        <v>56</v>
      </c>
      <c r="G553" s="3" t="s">
        <v>474</v>
      </c>
      <c r="H553" s="44">
        <v>551</v>
      </c>
    </row>
    <row r="554" spans="1:8" x14ac:dyDescent="0.35">
      <c r="A554" s="5">
        <v>42736</v>
      </c>
      <c r="B554" s="1">
        <v>65</v>
      </c>
      <c r="C554" s="1">
        <v>65</v>
      </c>
      <c r="D554" s="2">
        <v>127200</v>
      </c>
      <c r="E554" s="2">
        <v>2175</v>
      </c>
      <c r="F554" s="3" t="s">
        <v>56</v>
      </c>
      <c r="G554" s="3" t="s">
        <v>109</v>
      </c>
      <c r="H554" s="44">
        <v>552</v>
      </c>
    </row>
    <row r="555" spans="1:8" x14ac:dyDescent="0.35">
      <c r="A555" s="5">
        <v>42736</v>
      </c>
      <c r="B555" s="1">
        <v>65</v>
      </c>
      <c r="C555" s="1">
        <v>67</v>
      </c>
      <c r="D555" s="2">
        <v>20000</v>
      </c>
      <c r="E555" s="2">
        <v>902</v>
      </c>
      <c r="F555" s="3" t="s">
        <v>56</v>
      </c>
      <c r="G555" s="3" t="s">
        <v>342</v>
      </c>
      <c r="H555" s="44">
        <v>553</v>
      </c>
    </row>
    <row r="556" spans="1:8" x14ac:dyDescent="0.35">
      <c r="A556" s="5">
        <v>42736</v>
      </c>
      <c r="B556" s="1">
        <v>65</v>
      </c>
      <c r="C556" s="1">
        <v>67</v>
      </c>
      <c r="D556" s="2">
        <v>40000</v>
      </c>
      <c r="E556" s="2">
        <v>1285</v>
      </c>
      <c r="F556" s="3" t="s">
        <v>56</v>
      </c>
      <c r="G556" s="3" t="s">
        <v>630</v>
      </c>
      <c r="H556" s="44">
        <v>554</v>
      </c>
    </row>
    <row r="557" spans="1:8" x14ac:dyDescent="0.35">
      <c r="A557" s="5">
        <v>42736</v>
      </c>
      <c r="B557" s="1">
        <v>65</v>
      </c>
      <c r="C557" s="1">
        <v>67</v>
      </c>
      <c r="D557" s="2">
        <v>60000</v>
      </c>
      <c r="E557" s="2">
        <v>1668</v>
      </c>
      <c r="F557" s="3" t="s">
        <v>56</v>
      </c>
      <c r="G557" s="3" t="s">
        <v>154</v>
      </c>
      <c r="H557" s="44">
        <v>555</v>
      </c>
    </row>
    <row r="558" spans="1:8" x14ac:dyDescent="0.35">
      <c r="A558" s="5">
        <v>42736</v>
      </c>
      <c r="B558" s="1">
        <v>65</v>
      </c>
      <c r="C558" s="1">
        <v>67</v>
      </c>
      <c r="D558" s="2">
        <v>80000</v>
      </c>
      <c r="E558" s="2">
        <v>2052</v>
      </c>
      <c r="F558" s="3" t="s">
        <v>56</v>
      </c>
      <c r="G558" s="3" t="s">
        <v>618</v>
      </c>
      <c r="H558" s="44">
        <v>556</v>
      </c>
    </row>
    <row r="559" spans="1:8" x14ac:dyDescent="0.35">
      <c r="A559" s="5">
        <v>42736</v>
      </c>
      <c r="B559" s="1">
        <v>65</v>
      </c>
      <c r="C559" s="1">
        <v>67</v>
      </c>
      <c r="D559" s="2">
        <v>100000</v>
      </c>
      <c r="E559" s="2">
        <v>2334</v>
      </c>
      <c r="F559" s="3" t="s">
        <v>56</v>
      </c>
      <c r="G559" s="3" t="s">
        <v>534</v>
      </c>
      <c r="H559" s="44">
        <v>557</v>
      </c>
    </row>
    <row r="560" spans="1:8" x14ac:dyDescent="0.35">
      <c r="A560" s="5">
        <v>42736</v>
      </c>
      <c r="B560" s="1">
        <v>65</v>
      </c>
      <c r="C560" s="1">
        <v>67</v>
      </c>
      <c r="D560" s="2">
        <v>120000</v>
      </c>
      <c r="E560" s="2">
        <v>2514</v>
      </c>
      <c r="F560" s="3" t="s">
        <v>56</v>
      </c>
      <c r="G560" s="3" t="s">
        <v>433</v>
      </c>
      <c r="H560" s="44">
        <v>558</v>
      </c>
    </row>
    <row r="561" spans="1:8" x14ac:dyDescent="0.35">
      <c r="A561" s="5">
        <v>42736</v>
      </c>
      <c r="B561" s="1">
        <v>65</v>
      </c>
      <c r="C561" s="1">
        <v>67</v>
      </c>
      <c r="D561" s="2">
        <v>127200</v>
      </c>
      <c r="E561" s="2">
        <v>2578</v>
      </c>
      <c r="F561" s="3" t="s">
        <v>56</v>
      </c>
      <c r="G561" s="3" t="s">
        <v>457</v>
      </c>
      <c r="H561" s="44">
        <v>559</v>
      </c>
    </row>
    <row r="562" spans="1:8" x14ac:dyDescent="0.35">
      <c r="A562" s="5">
        <v>42736</v>
      </c>
      <c r="B562" s="1">
        <v>65</v>
      </c>
      <c r="C562" s="1">
        <v>70</v>
      </c>
      <c r="D562" s="2">
        <v>20000</v>
      </c>
      <c r="E562" s="2">
        <v>1123</v>
      </c>
      <c r="F562" s="3" t="s">
        <v>56</v>
      </c>
      <c r="G562" s="3" t="s">
        <v>564</v>
      </c>
      <c r="H562" s="44">
        <v>560</v>
      </c>
    </row>
    <row r="563" spans="1:8" x14ac:dyDescent="0.35">
      <c r="A563" s="5">
        <v>42736</v>
      </c>
      <c r="B563" s="1">
        <v>65</v>
      </c>
      <c r="C563" s="1">
        <v>70</v>
      </c>
      <c r="D563" s="2">
        <v>40000</v>
      </c>
      <c r="E563" s="2">
        <v>1622</v>
      </c>
      <c r="F563" s="3" t="s">
        <v>56</v>
      </c>
      <c r="G563" s="3" t="s">
        <v>688</v>
      </c>
      <c r="H563" s="44">
        <v>561</v>
      </c>
    </row>
    <row r="564" spans="1:8" x14ac:dyDescent="0.35">
      <c r="A564" s="5">
        <v>42736</v>
      </c>
      <c r="B564" s="1">
        <v>65</v>
      </c>
      <c r="C564" s="1">
        <v>70</v>
      </c>
      <c r="D564" s="2">
        <v>60000</v>
      </c>
      <c r="E564" s="2">
        <v>2120</v>
      </c>
      <c r="F564" s="3" t="s">
        <v>56</v>
      </c>
      <c r="G564" s="3" t="s">
        <v>692</v>
      </c>
      <c r="H564" s="44">
        <v>562</v>
      </c>
    </row>
    <row r="565" spans="1:8" x14ac:dyDescent="0.35">
      <c r="A565" s="5">
        <v>42736</v>
      </c>
      <c r="B565" s="1">
        <v>65</v>
      </c>
      <c r="C565" s="1">
        <v>70</v>
      </c>
      <c r="D565" s="2">
        <v>80000</v>
      </c>
      <c r="E565" s="2">
        <v>2617</v>
      </c>
      <c r="F565" s="3" t="s">
        <v>56</v>
      </c>
      <c r="G565" s="3" t="s">
        <v>32</v>
      </c>
      <c r="H565" s="44">
        <v>563</v>
      </c>
    </row>
    <row r="566" spans="1:8" x14ac:dyDescent="0.35">
      <c r="A566" s="5">
        <v>42736</v>
      </c>
      <c r="B566" s="1">
        <v>65</v>
      </c>
      <c r="C566" s="1">
        <v>70</v>
      </c>
      <c r="D566" s="2">
        <v>100000</v>
      </c>
      <c r="E566" s="2">
        <v>2900</v>
      </c>
      <c r="F566" s="3" t="s">
        <v>56</v>
      </c>
      <c r="G566" s="3" t="s">
        <v>91</v>
      </c>
      <c r="H566" s="44">
        <v>564</v>
      </c>
    </row>
    <row r="567" spans="1:8" x14ac:dyDescent="0.35">
      <c r="A567" s="5">
        <v>42736</v>
      </c>
      <c r="B567" s="1">
        <v>65</v>
      </c>
      <c r="C567" s="1">
        <v>70</v>
      </c>
      <c r="D567" s="2">
        <v>120000</v>
      </c>
      <c r="E567" s="2">
        <v>3134</v>
      </c>
      <c r="F567" s="3" t="s">
        <v>56</v>
      </c>
      <c r="G567" s="3" t="s">
        <v>16</v>
      </c>
      <c r="H567" s="44">
        <v>565</v>
      </c>
    </row>
    <row r="568" spans="1:8" x14ac:dyDescent="0.35">
      <c r="A568" s="5">
        <v>42736</v>
      </c>
      <c r="B568" s="1">
        <v>65</v>
      </c>
      <c r="C568" s="1">
        <v>70</v>
      </c>
      <c r="D568" s="2">
        <v>127200</v>
      </c>
      <c r="E568" s="2">
        <v>3217</v>
      </c>
      <c r="F568" s="3" t="s">
        <v>56</v>
      </c>
      <c r="G568" s="3" t="s">
        <v>637</v>
      </c>
      <c r="H568" s="44">
        <v>566</v>
      </c>
    </row>
    <row r="569" spans="1:8" x14ac:dyDescent="0.35">
      <c r="A569" s="5">
        <v>42736</v>
      </c>
      <c r="B569" s="1">
        <v>65</v>
      </c>
      <c r="C569" s="1">
        <v>75</v>
      </c>
      <c r="D569" s="2">
        <v>20000</v>
      </c>
      <c r="E569" s="2">
        <v>1178</v>
      </c>
      <c r="F569" s="3" t="s">
        <v>56</v>
      </c>
      <c r="G569" s="3" t="s">
        <v>645</v>
      </c>
      <c r="H569" s="44">
        <v>567</v>
      </c>
    </row>
    <row r="570" spans="1:8" x14ac:dyDescent="0.35">
      <c r="A570" s="5">
        <v>42736</v>
      </c>
      <c r="B570" s="1">
        <v>65</v>
      </c>
      <c r="C570" s="1">
        <v>75</v>
      </c>
      <c r="D570" s="2">
        <v>40000</v>
      </c>
      <c r="E570" s="2">
        <v>1731</v>
      </c>
      <c r="F570" s="3" t="s">
        <v>56</v>
      </c>
      <c r="G570" s="3" t="s">
        <v>605</v>
      </c>
      <c r="H570" s="44">
        <v>568</v>
      </c>
    </row>
    <row r="571" spans="1:8" x14ac:dyDescent="0.35">
      <c r="A571" s="5">
        <v>42736</v>
      </c>
      <c r="B571" s="1">
        <v>65</v>
      </c>
      <c r="C571" s="1">
        <v>75</v>
      </c>
      <c r="D571" s="2">
        <v>60000</v>
      </c>
      <c r="E571" s="2">
        <v>2283</v>
      </c>
      <c r="F571" s="3" t="s">
        <v>56</v>
      </c>
      <c r="G571" s="3" t="s">
        <v>321</v>
      </c>
      <c r="H571" s="44">
        <v>569</v>
      </c>
    </row>
    <row r="572" spans="1:8" x14ac:dyDescent="0.35">
      <c r="A572" s="5">
        <v>42736</v>
      </c>
      <c r="B572" s="1">
        <v>65</v>
      </c>
      <c r="C572" s="1">
        <v>75</v>
      </c>
      <c r="D572" s="2">
        <v>80000</v>
      </c>
      <c r="E572" s="2">
        <v>2769</v>
      </c>
      <c r="F572" s="3" t="s">
        <v>56</v>
      </c>
      <c r="G572" s="3" t="s">
        <v>453</v>
      </c>
      <c r="H572" s="44">
        <v>570</v>
      </c>
    </row>
    <row r="573" spans="1:8" x14ac:dyDescent="0.35">
      <c r="A573" s="5">
        <v>42736</v>
      </c>
      <c r="B573" s="1">
        <v>65</v>
      </c>
      <c r="C573" s="1">
        <v>75</v>
      </c>
      <c r="D573" s="2">
        <v>100000</v>
      </c>
      <c r="E573" s="2">
        <v>3028</v>
      </c>
      <c r="F573" s="3" t="s">
        <v>56</v>
      </c>
      <c r="G573" s="3" t="s">
        <v>405</v>
      </c>
      <c r="H573" s="44">
        <v>571</v>
      </c>
    </row>
    <row r="574" spans="1:8" x14ac:dyDescent="0.35">
      <c r="A574" s="5">
        <v>42736</v>
      </c>
      <c r="B574" s="1">
        <v>65</v>
      </c>
      <c r="C574" s="1">
        <v>75</v>
      </c>
      <c r="D574" s="2">
        <v>120000</v>
      </c>
      <c r="E574" s="2">
        <v>3287</v>
      </c>
      <c r="F574" s="3" t="s">
        <v>56</v>
      </c>
      <c r="G574" s="3" t="s">
        <v>773</v>
      </c>
      <c r="H574" s="44">
        <v>572</v>
      </c>
    </row>
    <row r="575" spans="1:8" x14ac:dyDescent="0.35">
      <c r="A575" s="5">
        <v>42736</v>
      </c>
      <c r="B575" s="1">
        <v>65</v>
      </c>
      <c r="C575" s="1">
        <v>75</v>
      </c>
      <c r="D575" s="2">
        <v>127200</v>
      </c>
      <c r="E575" s="2">
        <v>3380</v>
      </c>
      <c r="F575" s="3" t="s">
        <v>56</v>
      </c>
      <c r="G575" s="3" t="s">
        <v>135</v>
      </c>
      <c r="H575" s="44">
        <v>573</v>
      </c>
    </row>
    <row r="576" spans="1:8" x14ac:dyDescent="0.35">
      <c r="A576" s="5">
        <v>42736</v>
      </c>
      <c r="B576" s="1">
        <v>65</v>
      </c>
      <c r="C576" s="1">
        <v>80</v>
      </c>
      <c r="D576" s="2">
        <v>20000</v>
      </c>
      <c r="E576" s="2">
        <v>1227</v>
      </c>
      <c r="F576" s="3" t="s">
        <v>56</v>
      </c>
      <c r="G576" s="3" t="s">
        <v>279</v>
      </c>
      <c r="H576" s="44">
        <v>574</v>
      </c>
    </row>
    <row r="577" spans="1:8" x14ac:dyDescent="0.35">
      <c r="A577" s="5">
        <v>42736</v>
      </c>
      <c r="B577" s="1">
        <v>65</v>
      </c>
      <c r="C577" s="1">
        <v>80</v>
      </c>
      <c r="D577" s="2">
        <v>40000</v>
      </c>
      <c r="E577" s="2">
        <v>1830</v>
      </c>
      <c r="F577" s="3" t="s">
        <v>56</v>
      </c>
      <c r="G577" s="3" t="s">
        <v>76</v>
      </c>
      <c r="H577" s="44">
        <v>575</v>
      </c>
    </row>
    <row r="578" spans="1:8" x14ac:dyDescent="0.35">
      <c r="A578" s="5">
        <v>42736</v>
      </c>
      <c r="B578" s="1">
        <v>65</v>
      </c>
      <c r="C578" s="1">
        <v>80</v>
      </c>
      <c r="D578" s="2">
        <v>60000</v>
      </c>
      <c r="E578" s="2">
        <v>2431</v>
      </c>
      <c r="F578" s="3" t="s">
        <v>56</v>
      </c>
      <c r="G578" s="3" t="s">
        <v>75</v>
      </c>
      <c r="H578" s="44">
        <v>576</v>
      </c>
    </row>
    <row r="579" spans="1:8" x14ac:dyDescent="0.35">
      <c r="A579" s="5">
        <v>42736</v>
      </c>
      <c r="B579" s="1">
        <v>65</v>
      </c>
      <c r="C579" s="1">
        <v>80</v>
      </c>
      <c r="D579" s="2">
        <v>80000</v>
      </c>
      <c r="E579" s="2">
        <v>2862</v>
      </c>
      <c r="F579" s="3" t="s">
        <v>56</v>
      </c>
      <c r="G579" s="3" t="s">
        <v>68</v>
      </c>
      <c r="H579" s="44">
        <v>577</v>
      </c>
    </row>
    <row r="580" spans="1:8" x14ac:dyDescent="0.35">
      <c r="A580" s="5">
        <v>42736</v>
      </c>
      <c r="B580" s="1">
        <v>65</v>
      </c>
      <c r="C580" s="1">
        <v>80</v>
      </c>
      <c r="D580" s="2">
        <v>100000</v>
      </c>
      <c r="E580" s="2">
        <v>3144</v>
      </c>
      <c r="F580" s="3" t="s">
        <v>56</v>
      </c>
      <c r="G580" s="3" t="s">
        <v>662</v>
      </c>
      <c r="H580" s="44">
        <v>578</v>
      </c>
    </row>
    <row r="581" spans="1:8" x14ac:dyDescent="0.35">
      <c r="A581" s="5">
        <v>42736</v>
      </c>
      <c r="B581" s="1">
        <v>65</v>
      </c>
      <c r="C581" s="1">
        <v>80</v>
      </c>
      <c r="D581" s="2">
        <v>120000</v>
      </c>
      <c r="E581" s="2">
        <v>3426</v>
      </c>
      <c r="F581" s="3" t="s">
        <v>56</v>
      </c>
      <c r="G581" s="3" t="s">
        <v>598</v>
      </c>
      <c r="H581" s="44">
        <v>579</v>
      </c>
    </row>
    <row r="582" spans="1:8" x14ac:dyDescent="0.35">
      <c r="A582" s="5">
        <v>42736</v>
      </c>
      <c r="B582" s="1">
        <v>65</v>
      </c>
      <c r="C582" s="1">
        <v>80</v>
      </c>
      <c r="D582" s="2">
        <v>127200</v>
      </c>
      <c r="E582" s="2">
        <v>3527</v>
      </c>
      <c r="F582" s="3" t="s">
        <v>56</v>
      </c>
      <c r="G582" s="3" t="s">
        <v>254</v>
      </c>
      <c r="H582" s="44">
        <v>580</v>
      </c>
    </row>
    <row r="583" spans="1:8" x14ac:dyDescent="0.35">
      <c r="A583" s="5">
        <v>42736</v>
      </c>
      <c r="B583" s="1">
        <v>65</v>
      </c>
      <c r="C583" s="1">
        <v>85</v>
      </c>
      <c r="D583" s="2">
        <v>20000</v>
      </c>
      <c r="E583" s="2">
        <v>1271</v>
      </c>
      <c r="F583" s="3" t="s">
        <v>56</v>
      </c>
      <c r="G583" s="3" t="s">
        <v>47</v>
      </c>
      <c r="H583" s="44">
        <v>581</v>
      </c>
    </row>
    <row r="584" spans="1:8" x14ac:dyDescent="0.35">
      <c r="A584" s="5">
        <v>42736</v>
      </c>
      <c r="B584" s="1">
        <v>65</v>
      </c>
      <c r="C584" s="1">
        <v>85</v>
      </c>
      <c r="D584" s="2">
        <v>40000</v>
      </c>
      <c r="E584" s="2">
        <v>1917</v>
      </c>
      <c r="F584" s="3" t="s">
        <v>56</v>
      </c>
      <c r="G584" s="3" t="s">
        <v>103</v>
      </c>
      <c r="H584" s="44">
        <v>582</v>
      </c>
    </row>
    <row r="585" spans="1:8" x14ac:dyDescent="0.35">
      <c r="A585" s="5">
        <v>42736</v>
      </c>
      <c r="B585" s="1">
        <v>65</v>
      </c>
      <c r="C585" s="1">
        <v>85</v>
      </c>
      <c r="D585" s="2">
        <v>60000</v>
      </c>
      <c r="E585" s="2">
        <v>2562</v>
      </c>
      <c r="F585" s="3" t="s">
        <v>56</v>
      </c>
      <c r="G585" s="3" t="s">
        <v>84</v>
      </c>
      <c r="H585" s="44">
        <v>583</v>
      </c>
    </row>
    <row r="586" spans="1:8" x14ac:dyDescent="0.35">
      <c r="A586" s="5">
        <v>42736</v>
      </c>
      <c r="B586" s="1">
        <v>65</v>
      </c>
      <c r="C586" s="1">
        <v>85</v>
      </c>
      <c r="D586" s="2">
        <v>80000</v>
      </c>
      <c r="E586" s="2">
        <v>2944</v>
      </c>
      <c r="F586" s="3" t="s">
        <v>56</v>
      </c>
      <c r="G586" s="3" t="s">
        <v>378</v>
      </c>
      <c r="H586" s="44">
        <v>584</v>
      </c>
    </row>
    <row r="587" spans="1:8" x14ac:dyDescent="0.35">
      <c r="A587" s="5">
        <v>42736</v>
      </c>
      <c r="B587" s="1">
        <v>65</v>
      </c>
      <c r="C587" s="1">
        <v>85</v>
      </c>
      <c r="D587" s="2">
        <v>100000</v>
      </c>
      <c r="E587" s="2">
        <v>3246</v>
      </c>
      <c r="F587" s="3" t="s">
        <v>56</v>
      </c>
      <c r="G587" s="3" t="s">
        <v>617</v>
      </c>
      <c r="H587" s="44">
        <v>585</v>
      </c>
    </row>
    <row r="588" spans="1:8" x14ac:dyDescent="0.35">
      <c r="A588" s="5">
        <v>42736</v>
      </c>
      <c r="B588" s="1">
        <v>65</v>
      </c>
      <c r="C588" s="1">
        <v>85</v>
      </c>
      <c r="D588" s="2">
        <v>120000</v>
      </c>
      <c r="E588" s="2">
        <v>3549</v>
      </c>
      <c r="F588" s="3" t="s">
        <v>56</v>
      </c>
      <c r="G588" s="3" t="s">
        <v>69</v>
      </c>
      <c r="H588" s="44">
        <v>586</v>
      </c>
    </row>
    <row r="589" spans="1:8" x14ac:dyDescent="0.35">
      <c r="A589" s="5">
        <v>42736</v>
      </c>
      <c r="B589" s="1">
        <v>65</v>
      </c>
      <c r="C589" s="1">
        <v>85</v>
      </c>
      <c r="D589" s="2">
        <v>127200</v>
      </c>
      <c r="E589" s="2">
        <v>3657</v>
      </c>
      <c r="F589" s="3" t="s">
        <v>56</v>
      </c>
      <c r="G589" s="3" t="s">
        <v>790</v>
      </c>
      <c r="H589" s="44">
        <v>587</v>
      </c>
    </row>
    <row r="590" spans="1:8" x14ac:dyDescent="0.35">
      <c r="A590" s="5">
        <v>42736</v>
      </c>
      <c r="B590" s="1">
        <v>70</v>
      </c>
      <c r="C590" s="1">
        <v>62</v>
      </c>
      <c r="D590" s="2">
        <v>20000</v>
      </c>
      <c r="E590" s="2">
        <v>0</v>
      </c>
      <c r="F590" s="3" t="s">
        <v>56</v>
      </c>
      <c r="G590" s="3" t="s">
        <v>443</v>
      </c>
      <c r="H590" s="44">
        <v>588</v>
      </c>
    </row>
    <row r="591" spans="1:8" x14ac:dyDescent="0.35">
      <c r="A591" s="5">
        <v>42736</v>
      </c>
      <c r="B591" s="1">
        <v>70</v>
      </c>
      <c r="C591" s="1">
        <v>62</v>
      </c>
      <c r="D591" s="2">
        <v>40000</v>
      </c>
      <c r="E591" s="2">
        <v>0</v>
      </c>
      <c r="F591" s="3" t="s">
        <v>56</v>
      </c>
      <c r="G591" s="3" t="s">
        <v>209</v>
      </c>
      <c r="H591" s="44">
        <v>589</v>
      </c>
    </row>
    <row r="592" spans="1:8" x14ac:dyDescent="0.35">
      <c r="A592" s="5">
        <v>42736</v>
      </c>
      <c r="B592" s="1">
        <v>70</v>
      </c>
      <c r="C592" s="1">
        <v>62</v>
      </c>
      <c r="D592" s="2">
        <v>60000</v>
      </c>
      <c r="E592" s="2">
        <v>0</v>
      </c>
      <c r="F592" s="3" t="s">
        <v>56</v>
      </c>
      <c r="G592" s="3" t="s">
        <v>338</v>
      </c>
      <c r="H592" s="44">
        <v>590</v>
      </c>
    </row>
    <row r="593" spans="1:8" x14ac:dyDescent="0.35">
      <c r="A593" s="5">
        <v>42736</v>
      </c>
      <c r="B593" s="1">
        <v>70</v>
      </c>
      <c r="C593" s="1">
        <v>62</v>
      </c>
      <c r="D593" s="2">
        <v>80000</v>
      </c>
      <c r="E593" s="2">
        <v>0</v>
      </c>
      <c r="F593" s="3" t="s">
        <v>56</v>
      </c>
      <c r="G593" s="3" t="s">
        <v>184</v>
      </c>
      <c r="H593" s="44">
        <v>591</v>
      </c>
    </row>
    <row r="594" spans="1:8" x14ac:dyDescent="0.35">
      <c r="A594" s="5">
        <v>42736</v>
      </c>
      <c r="B594" s="1">
        <v>70</v>
      </c>
      <c r="C594" s="1">
        <v>62</v>
      </c>
      <c r="D594" s="2">
        <v>100000</v>
      </c>
      <c r="E594" s="2">
        <v>0</v>
      </c>
      <c r="F594" s="3" t="s">
        <v>56</v>
      </c>
      <c r="G594" s="3" t="s">
        <v>59</v>
      </c>
      <c r="H594" s="44">
        <v>592</v>
      </c>
    </row>
    <row r="595" spans="1:8" x14ac:dyDescent="0.35">
      <c r="A595" s="5">
        <v>42736</v>
      </c>
      <c r="B595" s="1">
        <v>70</v>
      </c>
      <c r="C595" s="1">
        <v>62</v>
      </c>
      <c r="D595" s="2">
        <v>120000</v>
      </c>
      <c r="E595" s="2">
        <v>0</v>
      </c>
      <c r="F595" s="3" t="s">
        <v>56</v>
      </c>
      <c r="G595" s="3" t="s">
        <v>586</v>
      </c>
      <c r="H595" s="44">
        <v>593</v>
      </c>
    </row>
    <row r="596" spans="1:8" x14ac:dyDescent="0.35">
      <c r="A596" s="5">
        <v>42736</v>
      </c>
      <c r="B596" s="1">
        <v>70</v>
      </c>
      <c r="C596" s="1">
        <v>62</v>
      </c>
      <c r="D596" s="2">
        <v>127200</v>
      </c>
      <c r="E596" s="2">
        <v>0</v>
      </c>
      <c r="F596" s="3" t="s">
        <v>56</v>
      </c>
      <c r="G596" s="3" t="s">
        <v>716</v>
      </c>
      <c r="H596" s="44">
        <v>594</v>
      </c>
    </row>
    <row r="597" spans="1:8" x14ac:dyDescent="0.35">
      <c r="A597" s="5">
        <v>42736</v>
      </c>
      <c r="B597" s="1">
        <v>70</v>
      </c>
      <c r="C597" s="1">
        <v>65</v>
      </c>
      <c r="D597" s="2">
        <v>20000</v>
      </c>
      <c r="E597" s="2">
        <v>0</v>
      </c>
      <c r="F597" s="3" t="s">
        <v>56</v>
      </c>
      <c r="G597" s="3" t="s">
        <v>452</v>
      </c>
      <c r="H597" s="44">
        <v>595</v>
      </c>
    </row>
    <row r="598" spans="1:8" x14ac:dyDescent="0.35">
      <c r="A598" s="5">
        <v>42736</v>
      </c>
      <c r="B598" s="1">
        <v>70</v>
      </c>
      <c r="C598" s="1">
        <v>65</v>
      </c>
      <c r="D598" s="2">
        <v>40000</v>
      </c>
      <c r="E598" s="2">
        <v>0</v>
      </c>
      <c r="F598" s="3" t="s">
        <v>56</v>
      </c>
      <c r="G598" s="3" t="s">
        <v>724</v>
      </c>
      <c r="H598" s="44">
        <v>596</v>
      </c>
    </row>
    <row r="599" spans="1:8" x14ac:dyDescent="0.35">
      <c r="A599" s="5">
        <v>42736</v>
      </c>
      <c r="B599" s="1">
        <v>70</v>
      </c>
      <c r="C599" s="1">
        <v>65</v>
      </c>
      <c r="D599" s="2">
        <v>60000</v>
      </c>
      <c r="E599" s="2">
        <v>0</v>
      </c>
      <c r="F599" s="3" t="s">
        <v>56</v>
      </c>
      <c r="G599" s="3" t="s">
        <v>705</v>
      </c>
      <c r="H599" s="44">
        <v>597</v>
      </c>
    </row>
    <row r="600" spans="1:8" x14ac:dyDescent="0.35">
      <c r="A600" s="5">
        <v>42736</v>
      </c>
      <c r="B600" s="1">
        <v>70</v>
      </c>
      <c r="C600" s="1">
        <v>65</v>
      </c>
      <c r="D600" s="2">
        <v>80000</v>
      </c>
      <c r="E600" s="2">
        <v>0</v>
      </c>
      <c r="F600" s="3" t="s">
        <v>56</v>
      </c>
      <c r="G600" s="3" t="s">
        <v>236</v>
      </c>
      <c r="H600" s="44">
        <v>598</v>
      </c>
    </row>
    <row r="601" spans="1:8" x14ac:dyDescent="0.35">
      <c r="A601" s="5">
        <v>42736</v>
      </c>
      <c r="B601" s="1">
        <v>70</v>
      </c>
      <c r="C601" s="1">
        <v>65</v>
      </c>
      <c r="D601" s="2">
        <v>100000</v>
      </c>
      <c r="E601" s="2">
        <v>0</v>
      </c>
      <c r="F601" s="3" t="s">
        <v>56</v>
      </c>
      <c r="G601" s="3" t="s">
        <v>552</v>
      </c>
      <c r="H601" s="44">
        <v>599</v>
      </c>
    </row>
    <row r="602" spans="1:8" x14ac:dyDescent="0.35">
      <c r="A602" s="5">
        <v>42736</v>
      </c>
      <c r="B602" s="1">
        <v>70</v>
      </c>
      <c r="C602" s="1">
        <v>65</v>
      </c>
      <c r="D602" s="2">
        <v>120000</v>
      </c>
      <c r="E602" s="2">
        <v>0</v>
      </c>
      <c r="F602" s="3" t="s">
        <v>56</v>
      </c>
      <c r="G602" s="3" t="s">
        <v>456</v>
      </c>
      <c r="H602" s="44">
        <v>600</v>
      </c>
    </row>
    <row r="603" spans="1:8" x14ac:dyDescent="0.35">
      <c r="A603" s="5">
        <v>42736</v>
      </c>
      <c r="B603" s="1">
        <v>70</v>
      </c>
      <c r="C603" s="1">
        <v>65</v>
      </c>
      <c r="D603" s="2">
        <v>127200</v>
      </c>
      <c r="E603" s="2">
        <v>0</v>
      </c>
      <c r="F603" s="3" t="s">
        <v>56</v>
      </c>
      <c r="G603" s="3" t="s">
        <v>422</v>
      </c>
      <c r="H603" s="44">
        <v>601</v>
      </c>
    </row>
    <row r="604" spans="1:8" x14ac:dyDescent="0.35">
      <c r="A604" s="5">
        <v>42736</v>
      </c>
      <c r="B604" s="1">
        <v>70</v>
      </c>
      <c r="C604" s="1">
        <v>67</v>
      </c>
      <c r="D604" s="2">
        <v>20000</v>
      </c>
      <c r="E604" s="2">
        <v>0</v>
      </c>
      <c r="F604" s="3" t="s">
        <v>56</v>
      </c>
      <c r="G604" s="3" t="s">
        <v>125</v>
      </c>
      <c r="H604" s="44">
        <v>602</v>
      </c>
    </row>
    <row r="605" spans="1:8" x14ac:dyDescent="0.35">
      <c r="A605" s="5">
        <v>42736</v>
      </c>
      <c r="B605" s="1">
        <v>70</v>
      </c>
      <c r="C605" s="1">
        <v>67</v>
      </c>
      <c r="D605" s="2">
        <v>40000</v>
      </c>
      <c r="E605" s="2">
        <v>0</v>
      </c>
      <c r="F605" s="3" t="s">
        <v>56</v>
      </c>
      <c r="G605" s="3" t="s">
        <v>271</v>
      </c>
      <c r="H605" s="44">
        <v>603</v>
      </c>
    </row>
    <row r="606" spans="1:8" x14ac:dyDescent="0.35">
      <c r="A606" s="5">
        <v>42736</v>
      </c>
      <c r="B606" s="1">
        <v>70</v>
      </c>
      <c r="C606" s="1">
        <v>67</v>
      </c>
      <c r="D606" s="2">
        <v>60000</v>
      </c>
      <c r="E606" s="2">
        <v>0</v>
      </c>
      <c r="F606" s="3" t="s">
        <v>56</v>
      </c>
      <c r="G606" s="3" t="s">
        <v>357</v>
      </c>
      <c r="H606" s="44">
        <v>604</v>
      </c>
    </row>
    <row r="607" spans="1:8" x14ac:dyDescent="0.35">
      <c r="A607" s="5">
        <v>42736</v>
      </c>
      <c r="B607" s="1">
        <v>70</v>
      </c>
      <c r="C607" s="1">
        <v>67</v>
      </c>
      <c r="D607" s="2">
        <v>80000</v>
      </c>
      <c r="E607" s="2">
        <v>0</v>
      </c>
      <c r="F607" s="3" t="s">
        <v>56</v>
      </c>
      <c r="G607" s="3" t="s">
        <v>536</v>
      </c>
      <c r="H607" s="44">
        <v>605</v>
      </c>
    </row>
    <row r="608" spans="1:8" x14ac:dyDescent="0.35">
      <c r="A608" s="5">
        <v>42736</v>
      </c>
      <c r="B608" s="1">
        <v>70</v>
      </c>
      <c r="C608" s="1">
        <v>67</v>
      </c>
      <c r="D608" s="2">
        <v>100000</v>
      </c>
      <c r="E608" s="2">
        <v>0</v>
      </c>
      <c r="F608" s="3" t="s">
        <v>56</v>
      </c>
      <c r="G608" s="3" t="s">
        <v>668</v>
      </c>
      <c r="H608" s="44">
        <v>606</v>
      </c>
    </row>
    <row r="609" spans="1:8" x14ac:dyDescent="0.35">
      <c r="A609" s="5">
        <v>42736</v>
      </c>
      <c r="B609" s="1">
        <v>70</v>
      </c>
      <c r="C609" s="1">
        <v>67</v>
      </c>
      <c r="D609" s="2">
        <v>120000</v>
      </c>
      <c r="E609" s="2">
        <v>0</v>
      </c>
      <c r="F609" s="3" t="s">
        <v>56</v>
      </c>
      <c r="G609" s="3" t="s">
        <v>615</v>
      </c>
      <c r="H609" s="44">
        <v>607</v>
      </c>
    </row>
    <row r="610" spans="1:8" x14ac:dyDescent="0.35">
      <c r="A610" s="5">
        <v>42736</v>
      </c>
      <c r="B610" s="1">
        <v>70</v>
      </c>
      <c r="C610" s="1">
        <v>67</v>
      </c>
      <c r="D610" s="2">
        <v>127200</v>
      </c>
      <c r="E610" s="2">
        <v>0</v>
      </c>
      <c r="F610" s="3" t="s">
        <v>56</v>
      </c>
      <c r="G610" s="3" t="s">
        <v>99</v>
      </c>
      <c r="H610" s="44">
        <v>608</v>
      </c>
    </row>
    <row r="611" spans="1:8" x14ac:dyDescent="0.35">
      <c r="A611" s="5">
        <v>42736</v>
      </c>
      <c r="B611" s="1">
        <v>70</v>
      </c>
      <c r="C611" s="1">
        <v>70</v>
      </c>
      <c r="D611" s="2">
        <v>20000</v>
      </c>
      <c r="E611" s="2">
        <v>1082</v>
      </c>
      <c r="F611" s="3" t="s">
        <v>56</v>
      </c>
      <c r="G611" s="3" t="s">
        <v>731</v>
      </c>
      <c r="H611" s="44">
        <v>609</v>
      </c>
    </row>
    <row r="612" spans="1:8" x14ac:dyDescent="0.35">
      <c r="A612" s="5">
        <v>42736</v>
      </c>
      <c r="B612" s="1">
        <v>70</v>
      </c>
      <c r="C612" s="1">
        <v>70</v>
      </c>
      <c r="D612" s="2">
        <v>40000</v>
      </c>
      <c r="E612" s="2">
        <v>1537</v>
      </c>
      <c r="F612" s="3" t="s">
        <v>56</v>
      </c>
      <c r="G612" s="3" t="s">
        <v>592</v>
      </c>
      <c r="H612" s="44">
        <v>610</v>
      </c>
    </row>
    <row r="613" spans="1:8" x14ac:dyDescent="0.35">
      <c r="A613" s="5">
        <v>42736</v>
      </c>
      <c r="B613" s="1">
        <v>70</v>
      </c>
      <c r="C613" s="1">
        <v>70</v>
      </c>
      <c r="D613" s="2">
        <v>60000</v>
      </c>
      <c r="E613" s="2">
        <v>1992</v>
      </c>
      <c r="F613" s="3" t="s">
        <v>56</v>
      </c>
      <c r="G613" s="3" t="s">
        <v>387</v>
      </c>
      <c r="H613" s="44">
        <v>611</v>
      </c>
    </row>
    <row r="614" spans="1:8" x14ac:dyDescent="0.35">
      <c r="A614" s="5">
        <v>42736</v>
      </c>
      <c r="B614" s="1">
        <v>70</v>
      </c>
      <c r="C614" s="1">
        <v>70</v>
      </c>
      <c r="D614" s="2">
        <v>80000</v>
      </c>
      <c r="E614" s="2">
        <v>2447</v>
      </c>
      <c r="F614" s="3" t="s">
        <v>56</v>
      </c>
      <c r="G614" s="3" t="s">
        <v>689</v>
      </c>
      <c r="H614" s="44">
        <v>612</v>
      </c>
    </row>
    <row r="615" spans="1:8" x14ac:dyDescent="0.35">
      <c r="A615" s="5">
        <v>42736</v>
      </c>
      <c r="B615" s="1">
        <v>70</v>
      </c>
      <c r="C615" s="1">
        <v>70</v>
      </c>
      <c r="D615" s="2">
        <v>100000</v>
      </c>
      <c r="E615" s="2">
        <v>2804</v>
      </c>
      <c r="F615" s="3" t="s">
        <v>56</v>
      </c>
      <c r="G615" s="3" t="s">
        <v>558</v>
      </c>
      <c r="H615" s="44">
        <v>613</v>
      </c>
    </row>
    <row r="616" spans="1:8" x14ac:dyDescent="0.35">
      <c r="A616" s="5">
        <v>42736</v>
      </c>
      <c r="B616" s="1">
        <v>70</v>
      </c>
      <c r="C616" s="1">
        <v>70</v>
      </c>
      <c r="D616" s="2">
        <v>120000</v>
      </c>
      <c r="E616" s="2">
        <v>3017</v>
      </c>
      <c r="F616" s="3" t="s">
        <v>56</v>
      </c>
      <c r="G616" s="3" t="s">
        <v>194</v>
      </c>
      <c r="H616" s="44">
        <v>614</v>
      </c>
    </row>
    <row r="617" spans="1:8" x14ac:dyDescent="0.35">
      <c r="A617" s="5">
        <v>42736</v>
      </c>
      <c r="B617" s="1">
        <v>70</v>
      </c>
      <c r="C617" s="1">
        <v>70</v>
      </c>
      <c r="D617" s="2">
        <v>127200</v>
      </c>
      <c r="E617" s="2">
        <v>3093</v>
      </c>
      <c r="F617" s="3" t="s">
        <v>56</v>
      </c>
      <c r="G617" s="3" t="s">
        <v>530</v>
      </c>
      <c r="H617" s="44">
        <v>615</v>
      </c>
    </row>
    <row r="618" spans="1:8" x14ac:dyDescent="0.35">
      <c r="A618" s="5">
        <v>42736</v>
      </c>
      <c r="B618" s="1">
        <v>70</v>
      </c>
      <c r="C618" s="1">
        <v>75</v>
      </c>
      <c r="D618" s="2">
        <v>20000</v>
      </c>
      <c r="E618" s="2">
        <v>1153</v>
      </c>
      <c r="F618" s="3" t="s">
        <v>56</v>
      </c>
      <c r="G618" s="3" t="s">
        <v>207</v>
      </c>
      <c r="H618" s="44">
        <v>616</v>
      </c>
    </row>
    <row r="619" spans="1:8" x14ac:dyDescent="0.35">
      <c r="A619" s="5">
        <v>42736</v>
      </c>
      <c r="B619" s="1">
        <v>70</v>
      </c>
      <c r="C619" s="1">
        <v>75</v>
      </c>
      <c r="D619" s="2">
        <v>40000</v>
      </c>
      <c r="E619" s="2">
        <v>1679</v>
      </c>
      <c r="F619" s="3" t="s">
        <v>56</v>
      </c>
      <c r="G619" s="3" t="s">
        <v>667</v>
      </c>
      <c r="H619" s="44">
        <v>617</v>
      </c>
    </row>
    <row r="620" spans="1:8" x14ac:dyDescent="0.35">
      <c r="A620" s="5">
        <v>42736</v>
      </c>
      <c r="B620" s="1">
        <v>70</v>
      </c>
      <c r="C620" s="1">
        <v>75</v>
      </c>
      <c r="D620" s="2">
        <v>60000</v>
      </c>
      <c r="E620" s="2">
        <v>2205</v>
      </c>
      <c r="F620" s="3" t="s">
        <v>56</v>
      </c>
      <c r="G620" s="3" t="s">
        <v>220</v>
      </c>
      <c r="H620" s="44">
        <v>618</v>
      </c>
    </row>
    <row r="621" spans="1:8" x14ac:dyDescent="0.35">
      <c r="A621" s="5">
        <v>42736</v>
      </c>
      <c r="B621" s="1">
        <v>70</v>
      </c>
      <c r="C621" s="1">
        <v>75</v>
      </c>
      <c r="D621" s="2">
        <v>80000</v>
      </c>
      <c r="E621" s="2">
        <v>2724</v>
      </c>
      <c r="F621" s="3" t="s">
        <v>56</v>
      </c>
      <c r="G621" s="3" t="s">
        <v>356</v>
      </c>
      <c r="H621" s="44">
        <v>619</v>
      </c>
    </row>
    <row r="622" spans="1:8" x14ac:dyDescent="0.35">
      <c r="A622" s="5">
        <v>42736</v>
      </c>
      <c r="B622" s="1">
        <v>70</v>
      </c>
      <c r="C622" s="1">
        <v>75</v>
      </c>
      <c r="D622" s="2">
        <v>100000</v>
      </c>
      <c r="E622" s="2">
        <v>2970</v>
      </c>
      <c r="F622" s="3" t="s">
        <v>56</v>
      </c>
      <c r="G622" s="3" t="s">
        <v>219</v>
      </c>
      <c r="H622" s="44">
        <v>620</v>
      </c>
    </row>
    <row r="623" spans="1:8" x14ac:dyDescent="0.35">
      <c r="A623" s="5">
        <v>42736</v>
      </c>
      <c r="B623" s="1">
        <v>70</v>
      </c>
      <c r="C623" s="1">
        <v>75</v>
      </c>
      <c r="D623" s="2">
        <v>120000</v>
      </c>
      <c r="E623" s="2">
        <v>3217</v>
      </c>
      <c r="F623" s="3" t="s">
        <v>56</v>
      </c>
      <c r="G623" s="3" t="s">
        <v>250</v>
      </c>
      <c r="H623" s="44">
        <v>621</v>
      </c>
    </row>
    <row r="624" spans="1:8" x14ac:dyDescent="0.35">
      <c r="A624" s="5">
        <v>42736</v>
      </c>
      <c r="B624" s="1">
        <v>70</v>
      </c>
      <c r="C624" s="1">
        <v>75</v>
      </c>
      <c r="D624" s="2">
        <v>127200</v>
      </c>
      <c r="E624" s="2">
        <v>3305</v>
      </c>
      <c r="F624" s="3" t="s">
        <v>56</v>
      </c>
      <c r="G624" s="3" t="s">
        <v>450</v>
      </c>
      <c r="H624" s="44">
        <v>622</v>
      </c>
    </row>
    <row r="625" spans="1:8" x14ac:dyDescent="0.35">
      <c r="A625" s="5">
        <v>42736</v>
      </c>
      <c r="B625" s="1">
        <v>70</v>
      </c>
      <c r="C625" s="1">
        <v>80</v>
      </c>
      <c r="D625" s="2">
        <v>20000</v>
      </c>
      <c r="E625" s="2">
        <v>1219</v>
      </c>
      <c r="F625" s="3" t="s">
        <v>56</v>
      </c>
      <c r="G625" s="3" t="s">
        <v>233</v>
      </c>
      <c r="H625" s="44">
        <v>623</v>
      </c>
    </row>
    <row r="626" spans="1:8" x14ac:dyDescent="0.35">
      <c r="A626" s="5">
        <v>42736</v>
      </c>
      <c r="B626" s="1">
        <v>70</v>
      </c>
      <c r="C626" s="1">
        <v>80</v>
      </c>
      <c r="D626" s="2">
        <v>40000</v>
      </c>
      <c r="E626" s="2">
        <v>1812</v>
      </c>
      <c r="F626" s="3" t="s">
        <v>56</v>
      </c>
      <c r="G626" s="3" t="s">
        <v>354</v>
      </c>
      <c r="H626" s="44">
        <v>624</v>
      </c>
    </row>
    <row r="627" spans="1:8" x14ac:dyDescent="0.35">
      <c r="A627" s="5">
        <v>42736</v>
      </c>
      <c r="B627" s="1">
        <v>70</v>
      </c>
      <c r="C627" s="1">
        <v>80</v>
      </c>
      <c r="D627" s="2">
        <v>60000</v>
      </c>
      <c r="E627" s="2">
        <v>2404</v>
      </c>
      <c r="F627" s="3" t="s">
        <v>56</v>
      </c>
      <c r="G627" s="3" t="s">
        <v>374</v>
      </c>
      <c r="H627" s="44">
        <v>625</v>
      </c>
    </row>
    <row r="628" spans="1:8" x14ac:dyDescent="0.35">
      <c r="A628" s="5">
        <v>42736</v>
      </c>
      <c r="B628" s="1">
        <v>70</v>
      </c>
      <c r="C628" s="1">
        <v>80</v>
      </c>
      <c r="D628" s="2">
        <v>80000</v>
      </c>
      <c r="E628" s="2">
        <v>2848</v>
      </c>
      <c r="F628" s="3" t="s">
        <v>56</v>
      </c>
      <c r="G628" s="3" t="s">
        <v>193</v>
      </c>
      <c r="H628" s="44">
        <v>626</v>
      </c>
    </row>
    <row r="629" spans="1:8" x14ac:dyDescent="0.35">
      <c r="A629" s="5">
        <v>42736</v>
      </c>
      <c r="B629" s="1">
        <v>70</v>
      </c>
      <c r="C629" s="1">
        <v>80</v>
      </c>
      <c r="D629" s="2">
        <v>100000</v>
      </c>
      <c r="E629" s="2">
        <v>3126</v>
      </c>
      <c r="F629" s="3" t="s">
        <v>56</v>
      </c>
      <c r="G629" s="3" t="s">
        <v>10</v>
      </c>
      <c r="H629" s="44">
        <v>627</v>
      </c>
    </row>
    <row r="630" spans="1:8" x14ac:dyDescent="0.35">
      <c r="A630" s="5">
        <v>42736</v>
      </c>
      <c r="B630" s="1">
        <v>70</v>
      </c>
      <c r="C630" s="1">
        <v>80</v>
      </c>
      <c r="D630" s="2">
        <v>120000</v>
      </c>
      <c r="E630" s="2">
        <v>3404</v>
      </c>
      <c r="F630" s="3" t="s">
        <v>56</v>
      </c>
      <c r="G630" s="3" t="s">
        <v>414</v>
      </c>
      <c r="H630" s="44">
        <v>628</v>
      </c>
    </row>
    <row r="631" spans="1:8" x14ac:dyDescent="0.35">
      <c r="A631" s="5">
        <v>42736</v>
      </c>
      <c r="B631" s="1">
        <v>70</v>
      </c>
      <c r="C631" s="1">
        <v>80</v>
      </c>
      <c r="D631" s="2">
        <v>127200</v>
      </c>
      <c r="E631" s="2">
        <v>3503</v>
      </c>
      <c r="F631" s="3" t="s">
        <v>56</v>
      </c>
      <c r="G631" s="3" t="s">
        <v>629</v>
      </c>
      <c r="H631" s="44">
        <v>629</v>
      </c>
    </row>
    <row r="632" spans="1:8" x14ac:dyDescent="0.35">
      <c r="A632" s="5">
        <v>42736</v>
      </c>
      <c r="B632" s="1">
        <v>70</v>
      </c>
      <c r="C632" s="1">
        <v>85</v>
      </c>
      <c r="D632" s="2">
        <v>20000</v>
      </c>
      <c r="E632" s="2">
        <v>1280</v>
      </c>
      <c r="F632" s="3" t="s">
        <v>56</v>
      </c>
      <c r="G632" s="3" t="s">
        <v>722</v>
      </c>
      <c r="H632" s="44">
        <v>630</v>
      </c>
    </row>
    <row r="633" spans="1:8" x14ac:dyDescent="0.35">
      <c r="A633" s="5">
        <v>42736</v>
      </c>
      <c r="B633" s="1">
        <v>70</v>
      </c>
      <c r="C633" s="1">
        <v>85</v>
      </c>
      <c r="D633" s="2">
        <v>40000</v>
      </c>
      <c r="E633" s="2">
        <v>1934</v>
      </c>
      <c r="F633" s="3" t="s">
        <v>56</v>
      </c>
      <c r="G633" s="3" t="s">
        <v>721</v>
      </c>
      <c r="H633" s="44">
        <v>631</v>
      </c>
    </row>
    <row r="634" spans="1:8" x14ac:dyDescent="0.35">
      <c r="A634" s="5">
        <v>42736</v>
      </c>
      <c r="B634" s="1">
        <v>70</v>
      </c>
      <c r="C634" s="1">
        <v>85</v>
      </c>
      <c r="D634" s="2">
        <v>60000</v>
      </c>
      <c r="E634" s="2">
        <v>2588</v>
      </c>
      <c r="F634" s="3" t="s">
        <v>56</v>
      </c>
      <c r="G634" s="3" t="s">
        <v>213</v>
      </c>
      <c r="H634" s="44">
        <v>632</v>
      </c>
    </row>
    <row r="635" spans="1:8" x14ac:dyDescent="0.35">
      <c r="A635" s="5">
        <v>42736</v>
      </c>
      <c r="B635" s="1">
        <v>70</v>
      </c>
      <c r="C635" s="1">
        <v>85</v>
      </c>
      <c r="D635" s="2">
        <v>80000</v>
      </c>
      <c r="E635" s="2">
        <v>2963</v>
      </c>
      <c r="F635" s="3" t="s">
        <v>56</v>
      </c>
      <c r="G635" s="3" t="s">
        <v>178</v>
      </c>
      <c r="H635" s="44">
        <v>633</v>
      </c>
    </row>
    <row r="636" spans="1:8" x14ac:dyDescent="0.35">
      <c r="A636" s="5">
        <v>42736</v>
      </c>
      <c r="B636" s="1">
        <v>70</v>
      </c>
      <c r="C636" s="1">
        <v>85</v>
      </c>
      <c r="D636" s="2">
        <v>100000</v>
      </c>
      <c r="E636" s="2">
        <v>3269</v>
      </c>
      <c r="F636" s="3" t="s">
        <v>56</v>
      </c>
      <c r="G636" s="3" t="s">
        <v>318</v>
      </c>
      <c r="H636" s="44">
        <v>634</v>
      </c>
    </row>
    <row r="637" spans="1:8" x14ac:dyDescent="0.35">
      <c r="A637" s="5">
        <v>42736</v>
      </c>
      <c r="B637" s="1">
        <v>70</v>
      </c>
      <c r="C637" s="1">
        <v>85</v>
      </c>
      <c r="D637" s="2">
        <v>120000</v>
      </c>
      <c r="E637" s="2">
        <v>3576</v>
      </c>
      <c r="F637" s="3" t="s">
        <v>56</v>
      </c>
      <c r="G637" s="3" t="s">
        <v>287</v>
      </c>
      <c r="H637" s="44">
        <v>635</v>
      </c>
    </row>
    <row r="638" spans="1:8" x14ac:dyDescent="0.35">
      <c r="A638" s="5">
        <v>42736</v>
      </c>
      <c r="B638" s="1">
        <v>70</v>
      </c>
      <c r="C638" s="1">
        <v>85</v>
      </c>
      <c r="D638" s="2">
        <v>127200</v>
      </c>
      <c r="E638" s="2">
        <v>3685</v>
      </c>
      <c r="F638" s="3" t="s">
        <v>56</v>
      </c>
      <c r="G638" s="3" t="s">
        <v>366</v>
      </c>
      <c r="H638" s="44">
        <v>636</v>
      </c>
    </row>
    <row r="639" spans="1:8" x14ac:dyDescent="0.35">
      <c r="A639" s="5">
        <v>42736</v>
      </c>
      <c r="B639" s="1">
        <v>75</v>
      </c>
      <c r="C639" s="1">
        <v>62</v>
      </c>
      <c r="D639" s="2">
        <v>20000</v>
      </c>
      <c r="E639" s="2">
        <v>0</v>
      </c>
      <c r="F639" s="3" t="s">
        <v>56</v>
      </c>
      <c r="G639" s="3" t="s">
        <v>672</v>
      </c>
      <c r="H639" s="44">
        <v>637</v>
      </c>
    </row>
    <row r="640" spans="1:8" x14ac:dyDescent="0.35">
      <c r="A640" s="5">
        <v>42736</v>
      </c>
      <c r="B640" s="1">
        <v>75</v>
      </c>
      <c r="C640" s="1">
        <v>62</v>
      </c>
      <c r="D640" s="2">
        <v>40000</v>
      </c>
      <c r="E640" s="2">
        <v>0</v>
      </c>
      <c r="F640" s="3" t="s">
        <v>56</v>
      </c>
      <c r="G640" s="3" t="s">
        <v>292</v>
      </c>
      <c r="H640" s="44">
        <v>638</v>
      </c>
    </row>
    <row r="641" spans="1:8" x14ac:dyDescent="0.35">
      <c r="A641" s="5">
        <v>42736</v>
      </c>
      <c r="B641" s="1">
        <v>75</v>
      </c>
      <c r="C641" s="1">
        <v>62</v>
      </c>
      <c r="D641" s="2">
        <v>60000</v>
      </c>
      <c r="E641" s="2">
        <v>0</v>
      </c>
      <c r="F641" s="3" t="s">
        <v>56</v>
      </c>
      <c r="G641" s="3" t="s">
        <v>455</v>
      </c>
      <c r="H641" s="44">
        <v>639</v>
      </c>
    </row>
    <row r="642" spans="1:8" x14ac:dyDescent="0.35">
      <c r="A642" s="5">
        <v>42736</v>
      </c>
      <c r="B642" s="1">
        <v>75</v>
      </c>
      <c r="C642" s="1">
        <v>62</v>
      </c>
      <c r="D642" s="2">
        <v>80000</v>
      </c>
      <c r="E642" s="2">
        <v>0</v>
      </c>
      <c r="F642" s="3" t="s">
        <v>56</v>
      </c>
      <c r="G642" s="3" t="s">
        <v>376</v>
      </c>
      <c r="H642" s="44">
        <v>640</v>
      </c>
    </row>
    <row r="643" spans="1:8" x14ac:dyDescent="0.35">
      <c r="A643" s="5">
        <v>42736</v>
      </c>
      <c r="B643" s="1">
        <v>75</v>
      </c>
      <c r="C643" s="1">
        <v>62</v>
      </c>
      <c r="D643" s="2">
        <v>100000</v>
      </c>
      <c r="E643" s="2">
        <v>0</v>
      </c>
      <c r="F643" s="3" t="s">
        <v>56</v>
      </c>
      <c r="G643" s="3" t="s">
        <v>783</v>
      </c>
      <c r="H643" s="44">
        <v>641</v>
      </c>
    </row>
    <row r="644" spans="1:8" x14ac:dyDescent="0.35">
      <c r="A644" s="5">
        <v>42736</v>
      </c>
      <c r="B644" s="1">
        <v>75</v>
      </c>
      <c r="C644" s="1">
        <v>62</v>
      </c>
      <c r="D644" s="2">
        <v>120000</v>
      </c>
      <c r="E644" s="2">
        <v>0</v>
      </c>
      <c r="F644" s="3" t="s">
        <v>56</v>
      </c>
      <c r="G644" s="3" t="s">
        <v>258</v>
      </c>
      <c r="H644" s="44">
        <v>642</v>
      </c>
    </row>
    <row r="645" spans="1:8" x14ac:dyDescent="0.35">
      <c r="A645" s="5">
        <v>42736</v>
      </c>
      <c r="B645" s="1">
        <v>75</v>
      </c>
      <c r="C645" s="1">
        <v>62</v>
      </c>
      <c r="D645" s="2">
        <v>127200</v>
      </c>
      <c r="E645" s="2">
        <v>0</v>
      </c>
      <c r="F645" s="3" t="s">
        <v>56</v>
      </c>
      <c r="G645" s="3" t="s">
        <v>198</v>
      </c>
      <c r="H645" s="44">
        <v>643</v>
      </c>
    </row>
    <row r="646" spans="1:8" x14ac:dyDescent="0.35">
      <c r="A646" s="5">
        <v>42736</v>
      </c>
      <c r="B646" s="1">
        <v>75</v>
      </c>
      <c r="C646" s="1">
        <v>65</v>
      </c>
      <c r="D646" s="2">
        <v>20000</v>
      </c>
      <c r="E646" s="2">
        <v>0</v>
      </c>
      <c r="F646" s="3" t="s">
        <v>56</v>
      </c>
      <c r="G646" s="3" t="s">
        <v>353</v>
      </c>
      <c r="H646" s="44">
        <v>644</v>
      </c>
    </row>
    <row r="647" spans="1:8" x14ac:dyDescent="0.35">
      <c r="A647" s="5">
        <v>42736</v>
      </c>
      <c r="B647" s="1">
        <v>75</v>
      </c>
      <c r="C647" s="1">
        <v>65</v>
      </c>
      <c r="D647" s="2">
        <v>40000</v>
      </c>
      <c r="E647" s="2">
        <v>0</v>
      </c>
      <c r="F647" s="3" t="s">
        <v>56</v>
      </c>
      <c r="G647" s="3" t="s">
        <v>628</v>
      </c>
      <c r="H647" s="44">
        <v>645</v>
      </c>
    </row>
    <row r="648" spans="1:8" x14ac:dyDescent="0.35">
      <c r="A648" s="5">
        <v>42736</v>
      </c>
      <c r="B648" s="1">
        <v>75</v>
      </c>
      <c r="C648" s="1">
        <v>65</v>
      </c>
      <c r="D648" s="2">
        <v>60000</v>
      </c>
      <c r="E648" s="2">
        <v>0</v>
      </c>
      <c r="F648" s="3" t="s">
        <v>56</v>
      </c>
      <c r="G648" s="3" t="s">
        <v>396</v>
      </c>
      <c r="H648" s="44">
        <v>646</v>
      </c>
    </row>
    <row r="649" spans="1:8" x14ac:dyDescent="0.35">
      <c r="A649" s="5">
        <v>42736</v>
      </c>
      <c r="B649" s="1">
        <v>75</v>
      </c>
      <c r="C649" s="1">
        <v>65</v>
      </c>
      <c r="D649" s="2">
        <v>80000</v>
      </c>
      <c r="E649" s="2">
        <v>0</v>
      </c>
      <c r="F649" s="3" t="s">
        <v>56</v>
      </c>
      <c r="G649" s="3" t="s">
        <v>390</v>
      </c>
      <c r="H649" s="44">
        <v>647</v>
      </c>
    </row>
    <row r="650" spans="1:8" x14ac:dyDescent="0.35">
      <c r="A650" s="5">
        <v>42736</v>
      </c>
      <c r="B650" s="1">
        <v>75</v>
      </c>
      <c r="C650" s="1">
        <v>65</v>
      </c>
      <c r="D650" s="2">
        <v>100000</v>
      </c>
      <c r="E650" s="2">
        <v>0</v>
      </c>
      <c r="F650" s="3" t="s">
        <v>56</v>
      </c>
      <c r="G650" s="3" t="s">
        <v>694</v>
      </c>
      <c r="H650" s="44">
        <v>648</v>
      </c>
    </row>
    <row r="651" spans="1:8" x14ac:dyDescent="0.35">
      <c r="A651" s="5">
        <v>42736</v>
      </c>
      <c r="B651" s="1">
        <v>75</v>
      </c>
      <c r="C651" s="1">
        <v>65</v>
      </c>
      <c r="D651" s="2">
        <v>120000</v>
      </c>
      <c r="E651" s="2">
        <v>0</v>
      </c>
      <c r="F651" s="3" t="s">
        <v>56</v>
      </c>
      <c r="G651" s="3" t="s">
        <v>58</v>
      </c>
      <c r="H651" s="44">
        <v>649</v>
      </c>
    </row>
    <row r="652" spans="1:8" x14ac:dyDescent="0.35">
      <c r="A652" s="5">
        <v>42736</v>
      </c>
      <c r="B652" s="1">
        <v>75</v>
      </c>
      <c r="C652" s="1">
        <v>65</v>
      </c>
      <c r="D652" s="2">
        <v>127200</v>
      </c>
      <c r="E652" s="2">
        <v>0</v>
      </c>
      <c r="F652" s="3" t="s">
        <v>56</v>
      </c>
      <c r="G652" s="3" t="s">
        <v>283</v>
      </c>
      <c r="H652" s="44">
        <v>650</v>
      </c>
    </row>
    <row r="653" spans="1:8" x14ac:dyDescent="0.35">
      <c r="A653" s="5">
        <v>42736</v>
      </c>
      <c r="B653" s="1">
        <v>75</v>
      </c>
      <c r="C653" s="1">
        <v>67</v>
      </c>
      <c r="D653" s="2">
        <v>20000</v>
      </c>
      <c r="E653" s="2">
        <v>0</v>
      </c>
      <c r="F653" s="3" t="s">
        <v>56</v>
      </c>
      <c r="G653" s="3" t="s">
        <v>551</v>
      </c>
      <c r="H653" s="44">
        <v>651</v>
      </c>
    </row>
    <row r="654" spans="1:8" x14ac:dyDescent="0.35">
      <c r="A654" s="5">
        <v>42736</v>
      </c>
      <c r="B654" s="1">
        <v>75</v>
      </c>
      <c r="C654" s="1">
        <v>67</v>
      </c>
      <c r="D654" s="2">
        <v>40000</v>
      </c>
      <c r="E654" s="2">
        <v>0</v>
      </c>
      <c r="F654" s="3" t="s">
        <v>56</v>
      </c>
      <c r="G654" s="3" t="s">
        <v>463</v>
      </c>
      <c r="H654" s="44">
        <v>652</v>
      </c>
    </row>
    <row r="655" spans="1:8" x14ac:dyDescent="0.35">
      <c r="A655" s="5">
        <v>42736</v>
      </c>
      <c r="B655" s="1">
        <v>75</v>
      </c>
      <c r="C655" s="1">
        <v>67</v>
      </c>
      <c r="D655" s="2">
        <v>60000</v>
      </c>
      <c r="E655" s="2">
        <v>0</v>
      </c>
      <c r="F655" s="3" t="s">
        <v>56</v>
      </c>
      <c r="G655" s="3" t="s">
        <v>205</v>
      </c>
      <c r="H655" s="44">
        <v>653</v>
      </c>
    </row>
    <row r="656" spans="1:8" x14ac:dyDescent="0.35">
      <c r="A656" s="5">
        <v>42736</v>
      </c>
      <c r="B656" s="1">
        <v>75</v>
      </c>
      <c r="C656" s="1">
        <v>67</v>
      </c>
      <c r="D656" s="2">
        <v>80000</v>
      </c>
      <c r="E656" s="2">
        <v>0</v>
      </c>
      <c r="F656" s="3" t="s">
        <v>56</v>
      </c>
      <c r="G656" s="3" t="s">
        <v>90</v>
      </c>
      <c r="H656" s="44">
        <v>654</v>
      </c>
    </row>
    <row r="657" spans="1:8" x14ac:dyDescent="0.35">
      <c r="A657" s="5">
        <v>42736</v>
      </c>
      <c r="B657" s="1">
        <v>75</v>
      </c>
      <c r="C657" s="1">
        <v>67</v>
      </c>
      <c r="D657" s="2">
        <v>100000</v>
      </c>
      <c r="E657" s="2">
        <v>0</v>
      </c>
      <c r="F657" s="3" t="s">
        <v>56</v>
      </c>
      <c r="G657" s="3" t="s">
        <v>0</v>
      </c>
      <c r="H657" s="44">
        <v>655</v>
      </c>
    </row>
    <row r="658" spans="1:8" x14ac:dyDescent="0.35">
      <c r="A658" s="5">
        <v>42736</v>
      </c>
      <c r="B658" s="1">
        <v>75</v>
      </c>
      <c r="C658" s="1">
        <v>67</v>
      </c>
      <c r="D658" s="2">
        <v>120000</v>
      </c>
      <c r="E658" s="2">
        <v>0</v>
      </c>
      <c r="F658" s="3" t="s">
        <v>56</v>
      </c>
      <c r="G658" s="3" t="s">
        <v>446</v>
      </c>
      <c r="H658" s="44">
        <v>656</v>
      </c>
    </row>
    <row r="659" spans="1:8" x14ac:dyDescent="0.35">
      <c r="A659" s="5">
        <v>42736</v>
      </c>
      <c r="B659" s="1">
        <v>75</v>
      </c>
      <c r="C659" s="1">
        <v>67</v>
      </c>
      <c r="D659" s="2">
        <v>127200</v>
      </c>
      <c r="E659" s="2">
        <v>0</v>
      </c>
      <c r="F659" s="3" t="s">
        <v>56</v>
      </c>
      <c r="G659" s="3" t="s">
        <v>341</v>
      </c>
      <c r="H659" s="44">
        <v>657</v>
      </c>
    </row>
    <row r="660" spans="1:8" x14ac:dyDescent="0.35">
      <c r="A660" s="5">
        <v>42736</v>
      </c>
      <c r="B660" s="1">
        <v>75</v>
      </c>
      <c r="C660" s="1">
        <v>70</v>
      </c>
      <c r="D660" s="2">
        <v>20000</v>
      </c>
      <c r="E660" s="2">
        <v>0</v>
      </c>
      <c r="F660" s="3" t="s">
        <v>56</v>
      </c>
      <c r="G660" s="3" t="s">
        <v>197</v>
      </c>
      <c r="H660" s="44">
        <v>658</v>
      </c>
    </row>
    <row r="661" spans="1:8" x14ac:dyDescent="0.35">
      <c r="A661" s="5">
        <v>42736</v>
      </c>
      <c r="B661" s="1">
        <v>75</v>
      </c>
      <c r="C661" s="1">
        <v>70</v>
      </c>
      <c r="D661" s="2">
        <v>40000</v>
      </c>
      <c r="E661" s="2">
        <v>0</v>
      </c>
      <c r="F661" s="3" t="s">
        <v>56</v>
      </c>
      <c r="G661" s="3" t="s">
        <v>274</v>
      </c>
      <c r="H661" s="44">
        <v>659</v>
      </c>
    </row>
    <row r="662" spans="1:8" x14ac:dyDescent="0.35">
      <c r="A662" s="5">
        <v>42736</v>
      </c>
      <c r="B662" s="1">
        <v>75</v>
      </c>
      <c r="C662" s="1">
        <v>70</v>
      </c>
      <c r="D662" s="2">
        <v>60000</v>
      </c>
      <c r="E662" s="2">
        <v>0</v>
      </c>
      <c r="F662" s="3" t="s">
        <v>56</v>
      </c>
      <c r="G662" s="3" t="s">
        <v>712</v>
      </c>
      <c r="H662" s="44">
        <v>660</v>
      </c>
    </row>
    <row r="663" spans="1:8" x14ac:dyDescent="0.35">
      <c r="A663" s="5">
        <v>42736</v>
      </c>
      <c r="B663" s="1">
        <v>75</v>
      </c>
      <c r="C663" s="1">
        <v>70</v>
      </c>
      <c r="D663" s="2">
        <v>80000</v>
      </c>
      <c r="E663" s="2">
        <v>0</v>
      </c>
      <c r="F663" s="3" t="s">
        <v>56</v>
      </c>
      <c r="G663" s="3" t="s">
        <v>529</v>
      </c>
      <c r="H663" s="44">
        <v>661</v>
      </c>
    </row>
    <row r="664" spans="1:8" x14ac:dyDescent="0.35">
      <c r="A664" s="5">
        <v>42736</v>
      </c>
      <c r="B664" s="1">
        <v>75</v>
      </c>
      <c r="C664" s="1">
        <v>70</v>
      </c>
      <c r="D664" s="2">
        <v>100000</v>
      </c>
      <c r="E664" s="2">
        <v>0</v>
      </c>
      <c r="F664" s="3" t="s">
        <v>56</v>
      </c>
      <c r="G664" s="3" t="s">
        <v>229</v>
      </c>
      <c r="H664" s="44">
        <v>662</v>
      </c>
    </row>
    <row r="665" spans="1:8" x14ac:dyDescent="0.35">
      <c r="A665" s="5">
        <v>42736</v>
      </c>
      <c r="B665" s="1">
        <v>75</v>
      </c>
      <c r="C665" s="1">
        <v>70</v>
      </c>
      <c r="D665" s="2">
        <v>120000</v>
      </c>
      <c r="E665" s="2">
        <v>0</v>
      </c>
      <c r="F665" s="3" t="s">
        <v>56</v>
      </c>
      <c r="G665" s="3" t="s">
        <v>770</v>
      </c>
      <c r="H665" s="44">
        <v>663</v>
      </c>
    </row>
    <row r="666" spans="1:8" x14ac:dyDescent="0.35">
      <c r="A666" s="5">
        <v>42736</v>
      </c>
      <c r="B666" s="1">
        <v>75</v>
      </c>
      <c r="C666" s="1">
        <v>70</v>
      </c>
      <c r="D666" s="2">
        <v>127200</v>
      </c>
      <c r="E666" s="2">
        <v>0</v>
      </c>
      <c r="F666" s="3" t="s">
        <v>56</v>
      </c>
      <c r="G666" s="3" t="s">
        <v>753</v>
      </c>
      <c r="H666" s="44">
        <v>664</v>
      </c>
    </row>
    <row r="667" spans="1:8" x14ac:dyDescent="0.35">
      <c r="A667" s="5">
        <v>42736</v>
      </c>
      <c r="B667" s="1">
        <v>75</v>
      </c>
      <c r="C667" s="1">
        <v>75</v>
      </c>
      <c r="D667" s="2">
        <v>20000</v>
      </c>
      <c r="E667" s="2">
        <v>1103</v>
      </c>
      <c r="F667" s="3" t="s">
        <v>56</v>
      </c>
      <c r="G667" s="3" t="s">
        <v>210</v>
      </c>
      <c r="H667" s="44">
        <v>665</v>
      </c>
    </row>
    <row r="668" spans="1:8" x14ac:dyDescent="0.35">
      <c r="A668" s="5">
        <v>42736</v>
      </c>
      <c r="B668" s="1">
        <v>75</v>
      </c>
      <c r="C668" s="1">
        <v>75</v>
      </c>
      <c r="D668" s="2">
        <v>40000</v>
      </c>
      <c r="E668" s="2">
        <v>1588</v>
      </c>
      <c r="F668" s="3" t="s">
        <v>56</v>
      </c>
      <c r="G668" s="3" t="s">
        <v>708</v>
      </c>
      <c r="H668" s="44">
        <v>666</v>
      </c>
    </row>
    <row r="669" spans="1:8" x14ac:dyDescent="0.35">
      <c r="A669" s="5">
        <v>42736</v>
      </c>
      <c r="B669" s="1">
        <v>75</v>
      </c>
      <c r="C669" s="1">
        <v>75</v>
      </c>
      <c r="D669" s="2">
        <v>60000</v>
      </c>
      <c r="E669" s="2">
        <v>2073</v>
      </c>
      <c r="F669" s="3" t="s">
        <v>56</v>
      </c>
      <c r="G669" s="3" t="s">
        <v>611</v>
      </c>
      <c r="H669" s="44">
        <v>667</v>
      </c>
    </row>
    <row r="670" spans="1:8" x14ac:dyDescent="0.35">
      <c r="A670" s="5">
        <v>42736</v>
      </c>
      <c r="B670" s="1">
        <v>75</v>
      </c>
      <c r="C670" s="1">
        <v>75</v>
      </c>
      <c r="D670" s="2">
        <v>80000</v>
      </c>
      <c r="E670" s="2">
        <v>2557</v>
      </c>
      <c r="F670" s="3" t="s">
        <v>56</v>
      </c>
      <c r="G670" s="3" t="s">
        <v>270</v>
      </c>
      <c r="H670" s="44">
        <v>668</v>
      </c>
    </row>
    <row r="671" spans="1:8" x14ac:dyDescent="0.35">
      <c r="A671" s="5">
        <v>42736</v>
      </c>
      <c r="B671" s="1">
        <v>75</v>
      </c>
      <c r="C671" s="1">
        <v>75</v>
      </c>
      <c r="D671" s="2">
        <v>100000</v>
      </c>
      <c r="E671" s="2">
        <v>2850</v>
      </c>
      <c r="F671" s="3" t="s">
        <v>56</v>
      </c>
      <c r="G671" s="3" t="s">
        <v>409</v>
      </c>
      <c r="H671" s="44">
        <v>669</v>
      </c>
    </row>
    <row r="672" spans="1:8" x14ac:dyDescent="0.35">
      <c r="A672" s="5">
        <v>42736</v>
      </c>
      <c r="B672" s="1">
        <v>75</v>
      </c>
      <c r="C672" s="1">
        <v>75</v>
      </c>
      <c r="D672" s="2">
        <v>120000</v>
      </c>
      <c r="E672" s="2">
        <v>3078</v>
      </c>
      <c r="F672" s="3" t="s">
        <v>56</v>
      </c>
      <c r="G672" s="3" t="s">
        <v>585</v>
      </c>
      <c r="H672" s="44">
        <v>670</v>
      </c>
    </row>
    <row r="673" spans="1:8" x14ac:dyDescent="0.35">
      <c r="A673" s="5">
        <v>42736</v>
      </c>
      <c r="B673" s="1">
        <v>75</v>
      </c>
      <c r="C673" s="1">
        <v>75</v>
      </c>
      <c r="D673" s="2">
        <v>127200</v>
      </c>
      <c r="E673" s="2">
        <v>3159</v>
      </c>
      <c r="F673" s="3" t="s">
        <v>56</v>
      </c>
      <c r="G673" s="3" t="s">
        <v>633</v>
      </c>
      <c r="H673" s="44">
        <v>671</v>
      </c>
    </row>
    <row r="674" spans="1:8" x14ac:dyDescent="0.35">
      <c r="A674" s="5">
        <v>42736</v>
      </c>
      <c r="B674" s="1">
        <v>75</v>
      </c>
      <c r="C674" s="1">
        <v>80</v>
      </c>
      <c r="D674" s="2">
        <v>20000</v>
      </c>
      <c r="E674" s="2">
        <v>1193</v>
      </c>
      <c r="F674" s="3" t="s">
        <v>56</v>
      </c>
      <c r="G674" s="3" t="s">
        <v>548</v>
      </c>
      <c r="H674" s="44">
        <v>672</v>
      </c>
    </row>
    <row r="675" spans="1:8" x14ac:dyDescent="0.35">
      <c r="A675" s="5">
        <v>42736</v>
      </c>
      <c r="B675" s="1">
        <v>75</v>
      </c>
      <c r="C675" s="1">
        <v>80</v>
      </c>
      <c r="D675" s="2">
        <v>40000</v>
      </c>
      <c r="E675" s="2">
        <v>1769</v>
      </c>
      <c r="F675" s="3" t="s">
        <v>56</v>
      </c>
      <c r="G675" s="3" t="s">
        <v>676</v>
      </c>
      <c r="H675" s="44">
        <v>673</v>
      </c>
    </row>
    <row r="676" spans="1:8" x14ac:dyDescent="0.35">
      <c r="A676" s="5">
        <v>42736</v>
      </c>
      <c r="B676" s="1">
        <v>75</v>
      </c>
      <c r="C676" s="1">
        <v>80</v>
      </c>
      <c r="D676" s="2">
        <v>60000</v>
      </c>
      <c r="E676" s="2">
        <v>2343</v>
      </c>
      <c r="F676" s="3" t="s">
        <v>56</v>
      </c>
      <c r="G676" s="3" t="s">
        <v>89</v>
      </c>
      <c r="H676" s="44">
        <v>674</v>
      </c>
    </row>
    <row r="677" spans="1:8" x14ac:dyDescent="0.35">
      <c r="A677" s="5">
        <v>42736</v>
      </c>
      <c r="B677" s="1">
        <v>75</v>
      </c>
      <c r="C677" s="1">
        <v>80</v>
      </c>
      <c r="D677" s="2">
        <v>80000</v>
      </c>
      <c r="E677" s="2">
        <v>2792</v>
      </c>
      <c r="F677" s="3" t="s">
        <v>56</v>
      </c>
      <c r="G677" s="3" t="s">
        <v>196</v>
      </c>
      <c r="H677" s="44">
        <v>675</v>
      </c>
    </row>
    <row r="678" spans="1:8" x14ac:dyDescent="0.35">
      <c r="A678" s="5">
        <v>42736</v>
      </c>
      <c r="B678" s="1">
        <v>75</v>
      </c>
      <c r="C678" s="1">
        <v>80</v>
      </c>
      <c r="D678" s="2">
        <v>100000</v>
      </c>
      <c r="E678" s="2">
        <v>3061</v>
      </c>
      <c r="F678" s="3" t="s">
        <v>56</v>
      </c>
      <c r="G678" s="3" t="s">
        <v>291</v>
      </c>
      <c r="H678" s="44">
        <v>676</v>
      </c>
    </row>
    <row r="679" spans="1:8" x14ac:dyDescent="0.35">
      <c r="A679" s="5">
        <v>42736</v>
      </c>
      <c r="B679" s="1">
        <v>75</v>
      </c>
      <c r="C679" s="1">
        <v>80</v>
      </c>
      <c r="D679" s="2">
        <v>120000</v>
      </c>
      <c r="E679" s="2">
        <v>3330</v>
      </c>
      <c r="F679" s="3" t="s">
        <v>56</v>
      </c>
      <c r="G679" s="3" t="s">
        <v>157</v>
      </c>
      <c r="H679" s="44">
        <v>677</v>
      </c>
    </row>
    <row r="680" spans="1:8" x14ac:dyDescent="0.35">
      <c r="A680" s="5">
        <v>42736</v>
      </c>
      <c r="B680" s="1">
        <v>75</v>
      </c>
      <c r="C680" s="1">
        <v>80</v>
      </c>
      <c r="D680" s="2">
        <v>127200</v>
      </c>
      <c r="E680" s="2">
        <v>3427</v>
      </c>
      <c r="F680" s="3" t="s">
        <v>56</v>
      </c>
      <c r="G680" s="3" t="s">
        <v>579</v>
      </c>
      <c r="H680" s="44">
        <v>678</v>
      </c>
    </row>
    <row r="681" spans="1:8" x14ac:dyDescent="0.35">
      <c r="A681" s="5">
        <v>42736</v>
      </c>
      <c r="B681" s="1">
        <v>75</v>
      </c>
      <c r="C681" s="1">
        <v>85</v>
      </c>
      <c r="D681" s="2">
        <v>20000</v>
      </c>
      <c r="E681" s="2">
        <v>1278</v>
      </c>
      <c r="F681" s="3" t="s">
        <v>56</v>
      </c>
      <c r="G681" s="3" t="s">
        <v>640</v>
      </c>
      <c r="H681" s="44">
        <v>679</v>
      </c>
    </row>
    <row r="682" spans="1:8" x14ac:dyDescent="0.35">
      <c r="A682" s="5">
        <v>42736</v>
      </c>
      <c r="B682" s="1">
        <v>75</v>
      </c>
      <c r="C682" s="1">
        <v>85</v>
      </c>
      <c r="D682" s="2">
        <v>40000</v>
      </c>
      <c r="E682" s="2">
        <v>1939</v>
      </c>
      <c r="F682" s="3" t="s">
        <v>56</v>
      </c>
      <c r="G682" s="3" t="s">
        <v>212</v>
      </c>
      <c r="H682" s="44">
        <v>680</v>
      </c>
    </row>
    <row r="683" spans="1:8" x14ac:dyDescent="0.35">
      <c r="A683" s="5">
        <v>42736</v>
      </c>
      <c r="B683" s="1">
        <v>75</v>
      </c>
      <c r="C683" s="1">
        <v>85</v>
      </c>
      <c r="D683" s="2">
        <v>60000</v>
      </c>
      <c r="E683" s="2">
        <v>2599</v>
      </c>
      <c r="F683" s="3" t="s">
        <v>56</v>
      </c>
      <c r="G683" s="3" t="s">
        <v>54</v>
      </c>
      <c r="H683" s="44">
        <v>681</v>
      </c>
    </row>
    <row r="684" spans="1:8" x14ac:dyDescent="0.35">
      <c r="A684" s="5">
        <v>42736</v>
      </c>
      <c r="B684" s="1">
        <v>75</v>
      </c>
      <c r="C684" s="1">
        <v>85</v>
      </c>
      <c r="D684" s="2">
        <v>80000</v>
      </c>
      <c r="E684" s="2">
        <v>2952</v>
      </c>
      <c r="F684" s="3" t="s">
        <v>56</v>
      </c>
      <c r="G684" s="3" t="s">
        <v>752</v>
      </c>
      <c r="H684" s="44">
        <v>682</v>
      </c>
    </row>
    <row r="685" spans="1:8" x14ac:dyDescent="0.35">
      <c r="A685" s="5">
        <v>42736</v>
      </c>
      <c r="B685" s="1">
        <v>75</v>
      </c>
      <c r="C685" s="1">
        <v>85</v>
      </c>
      <c r="D685" s="2">
        <v>100000</v>
      </c>
      <c r="E685" s="2">
        <v>3261</v>
      </c>
      <c r="F685" s="3" t="s">
        <v>56</v>
      </c>
      <c r="G685" s="3" t="s">
        <v>350</v>
      </c>
      <c r="H685" s="44">
        <v>683</v>
      </c>
    </row>
    <row r="686" spans="1:8" x14ac:dyDescent="0.35">
      <c r="A686" s="5">
        <v>42736</v>
      </c>
      <c r="B686" s="1">
        <v>75</v>
      </c>
      <c r="C686" s="1">
        <v>85</v>
      </c>
      <c r="D686" s="2">
        <v>120000</v>
      </c>
      <c r="E686" s="2">
        <v>3571</v>
      </c>
      <c r="F686" s="3" t="s">
        <v>56</v>
      </c>
      <c r="G686" s="3" t="s">
        <v>743</v>
      </c>
      <c r="H686" s="44">
        <v>684</v>
      </c>
    </row>
    <row r="687" spans="1:8" x14ac:dyDescent="0.35">
      <c r="A687" s="5">
        <v>42736</v>
      </c>
      <c r="B687" s="1">
        <v>75</v>
      </c>
      <c r="C687" s="1">
        <v>85</v>
      </c>
      <c r="D687" s="2">
        <v>127200</v>
      </c>
      <c r="E687" s="2">
        <v>3682</v>
      </c>
      <c r="F687" s="3" t="s">
        <v>56</v>
      </c>
      <c r="G687" s="3" t="s">
        <v>317</v>
      </c>
      <c r="H687" s="44">
        <v>685</v>
      </c>
    </row>
    <row r="688" spans="1:8" x14ac:dyDescent="0.35">
      <c r="A688" s="5">
        <v>42736</v>
      </c>
      <c r="B688" s="1">
        <v>80</v>
      </c>
      <c r="C688" s="1">
        <v>62</v>
      </c>
      <c r="D688" s="2">
        <v>20000</v>
      </c>
      <c r="E688" s="2">
        <v>0</v>
      </c>
      <c r="F688" s="3" t="s">
        <v>56</v>
      </c>
      <c r="G688" s="3" t="s">
        <v>698</v>
      </c>
      <c r="H688" s="44">
        <v>686</v>
      </c>
    </row>
    <row r="689" spans="1:8" x14ac:dyDescent="0.35">
      <c r="A689" s="5">
        <v>42736</v>
      </c>
      <c r="B689" s="1">
        <v>80</v>
      </c>
      <c r="C689" s="1">
        <v>62</v>
      </c>
      <c r="D689" s="2">
        <v>40000</v>
      </c>
      <c r="E689" s="2">
        <v>0</v>
      </c>
      <c r="F689" s="3" t="s">
        <v>56</v>
      </c>
      <c r="G689" s="3" t="s">
        <v>57</v>
      </c>
      <c r="H689" s="44">
        <v>687</v>
      </c>
    </row>
    <row r="690" spans="1:8" x14ac:dyDescent="0.35">
      <c r="A690" s="5">
        <v>42736</v>
      </c>
      <c r="B690" s="1">
        <v>80</v>
      </c>
      <c r="C690" s="1">
        <v>62</v>
      </c>
      <c r="D690" s="2">
        <v>60000</v>
      </c>
      <c r="E690" s="2">
        <v>0</v>
      </c>
      <c r="F690" s="3" t="s">
        <v>56</v>
      </c>
      <c r="G690" s="3" t="s">
        <v>679</v>
      </c>
      <c r="H690" s="44">
        <v>688</v>
      </c>
    </row>
    <row r="691" spans="1:8" x14ac:dyDescent="0.35">
      <c r="A691" s="5">
        <v>42736</v>
      </c>
      <c r="B691" s="1">
        <v>80</v>
      </c>
      <c r="C691" s="1">
        <v>62</v>
      </c>
      <c r="D691" s="2">
        <v>80000</v>
      </c>
      <c r="E691" s="2">
        <v>0</v>
      </c>
      <c r="F691" s="3" t="s">
        <v>56</v>
      </c>
      <c r="G691" s="3" t="s">
        <v>388</v>
      </c>
      <c r="H691" s="44">
        <v>689</v>
      </c>
    </row>
    <row r="692" spans="1:8" x14ac:dyDescent="0.35">
      <c r="A692" s="5">
        <v>42736</v>
      </c>
      <c r="B692" s="1">
        <v>80</v>
      </c>
      <c r="C692" s="1">
        <v>62</v>
      </c>
      <c r="D692" s="2">
        <v>100000</v>
      </c>
      <c r="E692" s="2">
        <v>0</v>
      </c>
      <c r="F692" s="3" t="s">
        <v>56</v>
      </c>
      <c r="G692" s="3" t="s">
        <v>88</v>
      </c>
      <c r="H692" s="44">
        <v>690</v>
      </c>
    </row>
    <row r="693" spans="1:8" x14ac:dyDescent="0.35">
      <c r="A693" s="5">
        <v>42736</v>
      </c>
      <c r="B693" s="1">
        <v>80</v>
      </c>
      <c r="C693" s="1">
        <v>62</v>
      </c>
      <c r="D693" s="2">
        <v>120000</v>
      </c>
      <c r="E693" s="2">
        <v>0</v>
      </c>
      <c r="F693" s="3" t="s">
        <v>56</v>
      </c>
      <c r="G693" s="3" t="s">
        <v>415</v>
      </c>
      <c r="H693" s="44">
        <v>691</v>
      </c>
    </row>
    <row r="694" spans="1:8" x14ac:dyDescent="0.35">
      <c r="A694" s="5">
        <v>42736</v>
      </c>
      <c r="B694" s="1">
        <v>80</v>
      </c>
      <c r="C694" s="1">
        <v>62</v>
      </c>
      <c r="D694" s="2">
        <v>127200</v>
      </c>
      <c r="E694" s="2">
        <v>0</v>
      </c>
      <c r="F694" s="3" t="s">
        <v>56</v>
      </c>
      <c r="G694" s="3" t="s">
        <v>112</v>
      </c>
      <c r="H694" s="44">
        <v>692</v>
      </c>
    </row>
    <row r="695" spans="1:8" x14ac:dyDescent="0.35">
      <c r="A695" s="5">
        <v>42736</v>
      </c>
      <c r="B695" s="1">
        <v>80</v>
      </c>
      <c r="C695" s="1">
        <v>65</v>
      </c>
      <c r="D695" s="2">
        <v>20000</v>
      </c>
      <c r="E695" s="2">
        <v>0</v>
      </c>
      <c r="F695" s="3" t="s">
        <v>56</v>
      </c>
      <c r="G695" s="3" t="s">
        <v>365</v>
      </c>
      <c r="H695" s="44">
        <v>693</v>
      </c>
    </row>
    <row r="696" spans="1:8" x14ac:dyDescent="0.35">
      <c r="A696" s="5">
        <v>42736</v>
      </c>
      <c r="B696" s="1">
        <v>80</v>
      </c>
      <c r="C696" s="1">
        <v>65</v>
      </c>
      <c r="D696" s="2">
        <v>40000</v>
      </c>
      <c r="E696" s="2">
        <v>0</v>
      </c>
      <c r="F696" s="3" t="s">
        <v>56</v>
      </c>
      <c r="G696" s="3" t="s">
        <v>557</v>
      </c>
      <c r="H696" s="44">
        <v>694</v>
      </c>
    </row>
    <row r="697" spans="1:8" x14ac:dyDescent="0.35">
      <c r="A697" s="5">
        <v>42736</v>
      </c>
      <c r="B697" s="1">
        <v>80</v>
      </c>
      <c r="C697" s="1">
        <v>65</v>
      </c>
      <c r="D697" s="2">
        <v>60000</v>
      </c>
      <c r="E697" s="2">
        <v>0</v>
      </c>
      <c r="F697" s="3" t="s">
        <v>56</v>
      </c>
      <c r="G697" s="3" t="s">
        <v>111</v>
      </c>
      <c r="H697" s="44">
        <v>695</v>
      </c>
    </row>
    <row r="698" spans="1:8" x14ac:dyDescent="0.35">
      <c r="A698" s="5">
        <v>42736</v>
      </c>
      <c r="B698" s="1">
        <v>80</v>
      </c>
      <c r="C698" s="1">
        <v>65</v>
      </c>
      <c r="D698" s="2">
        <v>80000</v>
      </c>
      <c r="E698" s="2">
        <v>0</v>
      </c>
      <c r="F698" s="3" t="s">
        <v>56</v>
      </c>
      <c r="G698" s="3" t="s">
        <v>442</v>
      </c>
      <c r="H698" s="44">
        <v>696</v>
      </c>
    </row>
    <row r="699" spans="1:8" x14ac:dyDescent="0.35">
      <c r="A699" s="5">
        <v>42736</v>
      </c>
      <c r="B699" s="1">
        <v>80</v>
      </c>
      <c r="C699" s="1">
        <v>65</v>
      </c>
      <c r="D699" s="2">
        <v>100000</v>
      </c>
      <c r="E699" s="2">
        <v>0</v>
      </c>
      <c r="F699" s="3" t="s">
        <v>56</v>
      </c>
      <c r="G699" s="3" t="s">
        <v>186</v>
      </c>
      <c r="H699" s="44">
        <v>697</v>
      </c>
    </row>
    <row r="700" spans="1:8" x14ac:dyDescent="0.35">
      <c r="A700" s="5">
        <v>42736</v>
      </c>
      <c r="B700" s="1">
        <v>80</v>
      </c>
      <c r="C700" s="1">
        <v>65</v>
      </c>
      <c r="D700" s="2">
        <v>120000</v>
      </c>
      <c r="E700" s="2">
        <v>0</v>
      </c>
      <c r="F700" s="3" t="s">
        <v>56</v>
      </c>
      <c r="G700" s="3" t="s">
        <v>208</v>
      </c>
      <c r="H700" s="44">
        <v>698</v>
      </c>
    </row>
    <row r="701" spans="1:8" x14ac:dyDescent="0.35">
      <c r="A701" s="5">
        <v>42736</v>
      </c>
      <c r="B701" s="1">
        <v>80</v>
      </c>
      <c r="C701" s="1">
        <v>65</v>
      </c>
      <c r="D701" s="2">
        <v>127200</v>
      </c>
      <c r="E701" s="2">
        <v>0</v>
      </c>
      <c r="F701" s="3" t="s">
        <v>56</v>
      </c>
      <c r="G701" s="3" t="s">
        <v>133</v>
      </c>
      <c r="H701" s="44">
        <v>699</v>
      </c>
    </row>
    <row r="702" spans="1:8" x14ac:dyDescent="0.35">
      <c r="A702" s="5">
        <v>42736</v>
      </c>
      <c r="B702" s="1">
        <v>80</v>
      </c>
      <c r="C702" s="1">
        <v>67</v>
      </c>
      <c r="D702" s="2">
        <v>20000</v>
      </c>
      <c r="E702" s="2">
        <v>0</v>
      </c>
      <c r="F702" s="3" t="s">
        <v>56</v>
      </c>
      <c r="G702" s="3" t="s">
        <v>35</v>
      </c>
      <c r="H702" s="44">
        <v>700</v>
      </c>
    </row>
    <row r="703" spans="1:8" x14ac:dyDescent="0.35">
      <c r="A703" s="5">
        <v>42736</v>
      </c>
      <c r="B703" s="1">
        <v>80</v>
      </c>
      <c r="C703" s="1">
        <v>67</v>
      </c>
      <c r="D703" s="2">
        <v>40000</v>
      </c>
      <c r="E703" s="2">
        <v>0</v>
      </c>
      <c r="F703" s="3" t="s">
        <v>56</v>
      </c>
      <c r="G703" s="3" t="s">
        <v>498</v>
      </c>
      <c r="H703" s="44">
        <v>701</v>
      </c>
    </row>
    <row r="704" spans="1:8" x14ac:dyDescent="0.35">
      <c r="A704" s="5">
        <v>42736</v>
      </c>
      <c r="B704" s="1">
        <v>80</v>
      </c>
      <c r="C704" s="1">
        <v>67</v>
      </c>
      <c r="D704" s="2">
        <v>60000</v>
      </c>
      <c r="E704" s="2">
        <v>0</v>
      </c>
      <c r="F704" s="3" t="s">
        <v>56</v>
      </c>
      <c r="G704" s="3" t="s">
        <v>228</v>
      </c>
      <c r="H704" s="44">
        <v>702</v>
      </c>
    </row>
    <row r="705" spans="1:8" x14ac:dyDescent="0.35">
      <c r="A705" s="5">
        <v>42736</v>
      </c>
      <c r="B705" s="1">
        <v>80</v>
      </c>
      <c r="C705" s="1">
        <v>67</v>
      </c>
      <c r="D705" s="2">
        <v>80000</v>
      </c>
      <c r="E705" s="2">
        <v>0</v>
      </c>
      <c r="F705" s="3" t="s">
        <v>56</v>
      </c>
      <c r="G705" s="3" t="s">
        <v>312</v>
      </c>
      <c r="H705" s="44">
        <v>703</v>
      </c>
    </row>
    <row r="706" spans="1:8" x14ac:dyDescent="0.35">
      <c r="A706" s="5">
        <v>42736</v>
      </c>
      <c r="B706" s="1">
        <v>80</v>
      </c>
      <c r="C706" s="1">
        <v>67</v>
      </c>
      <c r="D706" s="2">
        <v>100000</v>
      </c>
      <c r="E706" s="2">
        <v>0</v>
      </c>
      <c r="F706" s="3" t="s">
        <v>56</v>
      </c>
      <c r="G706" s="3" t="s">
        <v>747</v>
      </c>
      <c r="H706" s="44">
        <v>704</v>
      </c>
    </row>
    <row r="707" spans="1:8" x14ac:dyDescent="0.35">
      <c r="A707" s="5">
        <v>42736</v>
      </c>
      <c r="B707" s="1">
        <v>80</v>
      </c>
      <c r="C707" s="1">
        <v>67</v>
      </c>
      <c r="D707" s="2">
        <v>120000</v>
      </c>
      <c r="E707" s="2">
        <v>0</v>
      </c>
      <c r="F707" s="3" t="s">
        <v>56</v>
      </c>
      <c r="G707" s="3" t="s">
        <v>427</v>
      </c>
      <c r="H707" s="44">
        <v>705</v>
      </c>
    </row>
    <row r="708" spans="1:8" x14ac:dyDescent="0.35">
      <c r="A708" s="5">
        <v>42736</v>
      </c>
      <c r="B708" s="1">
        <v>80</v>
      </c>
      <c r="C708" s="1">
        <v>67</v>
      </c>
      <c r="D708" s="2">
        <v>127200</v>
      </c>
      <c r="E708" s="2">
        <v>0</v>
      </c>
      <c r="F708" s="3" t="s">
        <v>56</v>
      </c>
      <c r="G708" s="3" t="s">
        <v>364</v>
      </c>
      <c r="H708" s="44">
        <v>706</v>
      </c>
    </row>
    <row r="709" spans="1:8" x14ac:dyDescent="0.35">
      <c r="A709" s="5">
        <v>42736</v>
      </c>
      <c r="B709" s="1">
        <v>80</v>
      </c>
      <c r="C709" s="1">
        <v>70</v>
      </c>
      <c r="D709" s="2">
        <v>20000</v>
      </c>
      <c r="E709" s="2">
        <v>0</v>
      </c>
      <c r="F709" s="3" t="s">
        <v>56</v>
      </c>
      <c r="G709" s="3" t="s">
        <v>93</v>
      </c>
      <c r="H709" s="44">
        <v>707</v>
      </c>
    </row>
    <row r="710" spans="1:8" x14ac:dyDescent="0.35">
      <c r="A710" s="5">
        <v>42736</v>
      </c>
      <c r="B710" s="1">
        <v>80</v>
      </c>
      <c r="C710" s="1">
        <v>70</v>
      </c>
      <c r="D710" s="2">
        <v>40000</v>
      </c>
      <c r="E710" s="2">
        <v>0</v>
      </c>
      <c r="F710" s="3" t="s">
        <v>56</v>
      </c>
      <c r="G710" s="3" t="s">
        <v>649</v>
      </c>
      <c r="H710" s="44">
        <v>708</v>
      </c>
    </row>
    <row r="711" spans="1:8" x14ac:dyDescent="0.35">
      <c r="A711" s="5">
        <v>42736</v>
      </c>
      <c r="B711" s="1">
        <v>80</v>
      </c>
      <c r="C711" s="1">
        <v>70</v>
      </c>
      <c r="D711" s="2">
        <v>60000</v>
      </c>
      <c r="E711" s="2">
        <v>0</v>
      </c>
      <c r="F711" s="3" t="s">
        <v>56</v>
      </c>
      <c r="G711" s="3" t="s">
        <v>206</v>
      </c>
      <c r="H711" s="44">
        <v>709</v>
      </c>
    </row>
    <row r="712" spans="1:8" x14ac:dyDescent="0.35">
      <c r="A712" s="5">
        <v>42736</v>
      </c>
      <c r="B712" s="1">
        <v>80</v>
      </c>
      <c r="C712" s="1">
        <v>70</v>
      </c>
      <c r="D712" s="2">
        <v>80000</v>
      </c>
      <c r="E712" s="2">
        <v>0</v>
      </c>
      <c r="F712" s="3" t="s">
        <v>56</v>
      </c>
      <c r="G712" s="3" t="s">
        <v>765</v>
      </c>
      <c r="H712" s="44">
        <v>710</v>
      </c>
    </row>
    <row r="713" spans="1:8" x14ac:dyDescent="0.35">
      <c r="A713" s="5">
        <v>42736</v>
      </c>
      <c r="B713" s="1">
        <v>80</v>
      </c>
      <c r="C713" s="1">
        <v>70</v>
      </c>
      <c r="D713" s="2">
        <v>100000</v>
      </c>
      <c r="E713" s="2">
        <v>0</v>
      </c>
      <c r="F713" s="3" t="s">
        <v>56</v>
      </c>
      <c r="G713" s="3" t="s">
        <v>521</v>
      </c>
      <c r="H713" s="44">
        <v>711</v>
      </c>
    </row>
    <row r="714" spans="1:8" x14ac:dyDescent="0.35">
      <c r="A714" s="5">
        <v>42736</v>
      </c>
      <c r="B714" s="1">
        <v>80</v>
      </c>
      <c r="C714" s="1">
        <v>70</v>
      </c>
      <c r="D714" s="2">
        <v>120000</v>
      </c>
      <c r="E714" s="2">
        <v>0</v>
      </c>
      <c r="F714" s="3" t="s">
        <v>56</v>
      </c>
      <c r="G714" s="3" t="s">
        <v>20</v>
      </c>
      <c r="H714" s="44">
        <v>712</v>
      </c>
    </row>
    <row r="715" spans="1:8" x14ac:dyDescent="0.35">
      <c r="A715" s="5">
        <v>42736</v>
      </c>
      <c r="B715" s="1">
        <v>80</v>
      </c>
      <c r="C715" s="1">
        <v>70</v>
      </c>
      <c r="D715" s="2">
        <v>127200</v>
      </c>
      <c r="E715" s="2">
        <v>0</v>
      </c>
      <c r="F715" s="3" t="s">
        <v>56</v>
      </c>
      <c r="G715" s="3" t="s">
        <v>720</v>
      </c>
      <c r="H715" s="44">
        <v>713</v>
      </c>
    </row>
    <row r="716" spans="1:8" x14ac:dyDescent="0.35">
      <c r="A716" s="5">
        <v>42736</v>
      </c>
      <c r="B716" s="1">
        <v>80</v>
      </c>
      <c r="C716" s="1">
        <v>75</v>
      </c>
      <c r="D716" s="2">
        <v>20000</v>
      </c>
      <c r="E716" s="2">
        <v>0</v>
      </c>
      <c r="F716" s="3" t="s">
        <v>56</v>
      </c>
      <c r="G716" s="3" t="s">
        <v>175</v>
      </c>
      <c r="H716" s="44">
        <v>714</v>
      </c>
    </row>
    <row r="717" spans="1:8" x14ac:dyDescent="0.35">
      <c r="A717" s="5">
        <v>42736</v>
      </c>
      <c r="B717" s="1">
        <v>80</v>
      </c>
      <c r="C717" s="1">
        <v>75</v>
      </c>
      <c r="D717" s="2">
        <v>40000</v>
      </c>
      <c r="E717" s="2">
        <v>0</v>
      </c>
      <c r="F717" s="3" t="s">
        <v>56</v>
      </c>
      <c r="G717" s="3" t="s">
        <v>575</v>
      </c>
      <c r="H717" s="44">
        <v>715</v>
      </c>
    </row>
    <row r="718" spans="1:8" x14ac:dyDescent="0.35">
      <c r="A718" s="5">
        <v>42736</v>
      </c>
      <c r="B718" s="1">
        <v>80</v>
      </c>
      <c r="C718" s="1">
        <v>75</v>
      </c>
      <c r="D718" s="2">
        <v>60000</v>
      </c>
      <c r="E718" s="2">
        <v>0</v>
      </c>
      <c r="F718" s="3" t="s">
        <v>56</v>
      </c>
      <c r="G718" s="3" t="s">
        <v>730</v>
      </c>
      <c r="H718" s="44">
        <v>716</v>
      </c>
    </row>
    <row r="719" spans="1:8" x14ac:dyDescent="0.35">
      <c r="A719" s="5">
        <v>42736</v>
      </c>
      <c r="B719" s="1">
        <v>80</v>
      </c>
      <c r="C719" s="1">
        <v>75</v>
      </c>
      <c r="D719" s="2">
        <v>80000</v>
      </c>
      <c r="E719" s="2">
        <v>0</v>
      </c>
      <c r="F719" s="3" t="s">
        <v>56</v>
      </c>
      <c r="G719" s="3" t="s">
        <v>759</v>
      </c>
      <c r="H719" s="44">
        <v>717</v>
      </c>
    </row>
    <row r="720" spans="1:8" x14ac:dyDescent="0.35">
      <c r="A720" s="5">
        <v>42736</v>
      </c>
      <c r="B720" s="1">
        <v>80</v>
      </c>
      <c r="C720" s="1">
        <v>75</v>
      </c>
      <c r="D720" s="2">
        <v>100000</v>
      </c>
      <c r="E720" s="2">
        <v>0</v>
      </c>
      <c r="F720" s="3" t="s">
        <v>56</v>
      </c>
      <c r="G720" s="3" t="s">
        <v>584</v>
      </c>
      <c r="H720" s="44">
        <v>718</v>
      </c>
    </row>
    <row r="721" spans="1:8" x14ac:dyDescent="0.35">
      <c r="A721" s="5">
        <v>42736</v>
      </c>
      <c r="B721" s="1">
        <v>80</v>
      </c>
      <c r="C721" s="1">
        <v>75</v>
      </c>
      <c r="D721" s="2">
        <v>120000</v>
      </c>
      <c r="E721" s="2">
        <v>0</v>
      </c>
      <c r="F721" s="3" t="s">
        <v>56</v>
      </c>
      <c r="G721" s="3" t="s">
        <v>506</v>
      </c>
      <c r="H721" s="44">
        <v>719</v>
      </c>
    </row>
    <row r="722" spans="1:8" x14ac:dyDescent="0.35">
      <c r="A722" s="5">
        <v>42736</v>
      </c>
      <c r="B722" s="1">
        <v>80</v>
      </c>
      <c r="C722" s="1">
        <v>75</v>
      </c>
      <c r="D722" s="2">
        <v>127200</v>
      </c>
      <c r="E722" s="2">
        <v>0</v>
      </c>
      <c r="F722" s="3" t="s">
        <v>56</v>
      </c>
      <c r="G722" s="3" t="s">
        <v>505</v>
      </c>
      <c r="H722" s="44">
        <v>720</v>
      </c>
    </row>
    <row r="723" spans="1:8" x14ac:dyDescent="0.35">
      <c r="A723" s="5">
        <v>42736</v>
      </c>
      <c r="B723" s="1">
        <v>80</v>
      </c>
      <c r="C723" s="1">
        <v>80</v>
      </c>
      <c r="D723" s="2">
        <v>20000</v>
      </c>
      <c r="E723" s="2">
        <v>1025</v>
      </c>
      <c r="F723" s="3" t="s">
        <v>56</v>
      </c>
      <c r="G723" s="3" t="s">
        <v>704</v>
      </c>
      <c r="H723" s="44">
        <v>721</v>
      </c>
    </row>
    <row r="724" spans="1:8" x14ac:dyDescent="0.35">
      <c r="A724" s="5">
        <v>42736</v>
      </c>
      <c r="B724" s="1">
        <v>80</v>
      </c>
      <c r="C724" s="1">
        <v>80</v>
      </c>
      <c r="D724" s="2">
        <v>40000</v>
      </c>
      <c r="E724" s="2">
        <v>1519</v>
      </c>
      <c r="F724" s="3" t="s">
        <v>56</v>
      </c>
      <c r="G724" s="3" t="s">
        <v>758</v>
      </c>
      <c r="H724" s="44">
        <v>722</v>
      </c>
    </row>
    <row r="725" spans="1:8" x14ac:dyDescent="0.35">
      <c r="A725" s="5">
        <v>42736</v>
      </c>
      <c r="B725" s="1">
        <v>80</v>
      </c>
      <c r="C725" s="1">
        <v>80</v>
      </c>
      <c r="D725" s="2">
        <v>60000</v>
      </c>
      <c r="E725" s="2">
        <v>2010</v>
      </c>
      <c r="F725" s="3" t="s">
        <v>56</v>
      </c>
      <c r="G725" s="3" t="s">
        <v>563</v>
      </c>
      <c r="H725" s="44">
        <v>723</v>
      </c>
    </row>
    <row r="726" spans="1:8" x14ac:dyDescent="0.35">
      <c r="A726" s="5">
        <v>42736</v>
      </c>
      <c r="B726" s="1">
        <v>80</v>
      </c>
      <c r="C726" s="1">
        <v>80</v>
      </c>
      <c r="D726" s="2">
        <v>80000</v>
      </c>
      <c r="E726" s="2">
        <v>2403</v>
      </c>
      <c r="F726" s="3" t="s">
        <v>56</v>
      </c>
      <c r="G726" s="3" t="s">
        <v>610</v>
      </c>
      <c r="H726" s="44">
        <v>724</v>
      </c>
    </row>
    <row r="727" spans="1:8" x14ac:dyDescent="0.35">
      <c r="A727" s="5">
        <v>42736</v>
      </c>
      <c r="B727" s="1">
        <v>80</v>
      </c>
      <c r="C727" s="1">
        <v>80</v>
      </c>
      <c r="D727" s="2">
        <v>100000</v>
      </c>
      <c r="E727" s="2">
        <v>2633</v>
      </c>
      <c r="F727" s="3" t="s">
        <v>56</v>
      </c>
      <c r="G727" s="3" t="s">
        <v>401</v>
      </c>
      <c r="H727" s="44">
        <v>725</v>
      </c>
    </row>
    <row r="728" spans="1:8" x14ac:dyDescent="0.35">
      <c r="A728" s="5">
        <v>42736</v>
      </c>
      <c r="B728" s="1">
        <v>80</v>
      </c>
      <c r="C728" s="1">
        <v>80</v>
      </c>
      <c r="D728" s="2">
        <v>120000</v>
      </c>
      <c r="E728" s="2">
        <v>2864</v>
      </c>
      <c r="F728" s="3" t="s">
        <v>56</v>
      </c>
      <c r="G728" s="3" t="s">
        <v>432</v>
      </c>
      <c r="H728" s="44">
        <v>726</v>
      </c>
    </row>
    <row r="729" spans="1:8" x14ac:dyDescent="0.35">
      <c r="A729" s="5">
        <v>42736</v>
      </c>
      <c r="B729" s="1">
        <v>80</v>
      </c>
      <c r="C729" s="1">
        <v>80</v>
      </c>
      <c r="D729" s="2">
        <v>127200</v>
      </c>
      <c r="E729" s="2">
        <v>2946</v>
      </c>
      <c r="F729" s="3" t="s">
        <v>56</v>
      </c>
      <c r="G729" s="3" t="s">
        <v>96</v>
      </c>
      <c r="H729" s="44">
        <v>727</v>
      </c>
    </row>
    <row r="730" spans="1:8" x14ac:dyDescent="0.35">
      <c r="A730" s="5">
        <v>42736</v>
      </c>
      <c r="B730" s="1">
        <v>80</v>
      </c>
      <c r="C730" s="1">
        <v>85</v>
      </c>
      <c r="D730" s="2">
        <v>20000</v>
      </c>
      <c r="E730" s="2">
        <v>1135</v>
      </c>
      <c r="F730" s="3" t="s">
        <v>56</v>
      </c>
      <c r="G730" s="3" t="s">
        <v>626</v>
      </c>
      <c r="H730" s="44">
        <v>728</v>
      </c>
    </row>
    <row r="731" spans="1:8" x14ac:dyDescent="0.35">
      <c r="A731" s="5">
        <v>42736</v>
      </c>
      <c r="B731" s="1">
        <v>80</v>
      </c>
      <c r="C731" s="1">
        <v>85</v>
      </c>
      <c r="D731" s="2">
        <v>40000</v>
      </c>
      <c r="E731" s="2">
        <v>1736</v>
      </c>
      <c r="F731" s="3" t="s">
        <v>56</v>
      </c>
      <c r="G731" s="3" t="s">
        <v>785</v>
      </c>
      <c r="H731" s="44">
        <v>729</v>
      </c>
    </row>
    <row r="732" spans="1:8" x14ac:dyDescent="0.35">
      <c r="A732" s="5">
        <v>42736</v>
      </c>
      <c r="B732" s="1">
        <v>80</v>
      </c>
      <c r="C732" s="1">
        <v>85</v>
      </c>
      <c r="D732" s="2">
        <v>60000</v>
      </c>
      <c r="E732" s="2">
        <v>2325</v>
      </c>
      <c r="F732" s="3" t="s">
        <v>56</v>
      </c>
      <c r="G732" s="3" t="s">
        <v>249</v>
      </c>
      <c r="H732" s="44">
        <v>730</v>
      </c>
    </row>
    <row r="733" spans="1:8" x14ac:dyDescent="0.35">
      <c r="A733" s="5">
        <v>42736</v>
      </c>
      <c r="B733" s="1">
        <v>80</v>
      </c>
      <c r="C733" s="1">
        <v>85</v>
      </c>
      <c r="D733" s="2">
        <v>80000</v>
      </c>
      <c r="E733" s="2">
        <v>2607</v>
      </c>
      <c r="F733" s="3" t="s">
        <v>56</v>
      </c>
      <c r="G733" s="3" t="s">
        <v>149</v>
      </c>
      <c r="H733" s="44">
        <v>731</v>
      </c>
    </row>
    <row r="734" spans="1:8" x14ac:dyDescent="0.35">
      <c r="A734" s="5">
        <v>42736</v>
      </c>
      <c r="B734" s="1">
        <v>80</v>
      </c>
      <c r="C734" s="1">
        <v>85</v>
      </c>
      <c r="D734" s="2">
        <v>100000</v>
      </c>
      <c r="E734" s="2">
        <v>2889</v>
      </c>
      <c r="F734" s="3" t="s">
        <v>56</v>
      </c>
      <c r="G734" s="3" t="s">
        <v>156</v>
      </c>
      <c r="H734" s="44">
        <v>732</v>
      </c>
    </row>
    <row r="735" spans="1:8" x14ac:dyDescent="0.35">
      <c r="A735" s="5">
        <v>42736</v>
      </c>
      <c r="B735" s="1">
        <v>80</v>
      </c>
      <c r="C735" s="1">
        <v>85</v>
      </c>
      <c r="D735" s="2">
        <v>120000</v>
      </c>
      <c r="E735" s="2">
        <v>3171</v>
      </c>
      <c r="F735" s="3" t="s">
        <v>56</v>
      </c>
      <c r="G735" s="3" t="s">
        <v>595</v>
      </c>
      <c r="H735" s="44">
        <v>733</v>
      </c>
    </row>
    <row r="736" spans="1:8" x14ac:dyDescent="0.35">
      <c r="A736" s="5">
        <v>42736</v>
      </c>
      <c r="B736" s="1">
        <v>80</v>
      </c>
      <c r="C736" s="1">
        <v>85</v>
      </c>
      <c r="D736" s="2">
        <v>127200</v>
      </c>
      <c r="E736" s="2">
        <v>3272</v>
      </c>
      <c r="F736" s="3" t="s">
        <v>56</v>
      </c>
      <c r="G736" s="3" t="s">
        <v>130</v>
      </c>
      <c r="H736" s="44">
        <v>734</v>
      </c>
    </row>
    <row r="737" spans="1:8" x14ac:dyDescent="0.35">
      <c r="A737" s="5">
        <v>42736</v>
      </c>
      <c r="B737" s="1">
        <v>85</v>
      </c>
      <c r="C737" s="1">
        <v>62</v>
      </c>
      <c r="D737" s="2">
        <v>20000</v>
      </c>
      <c r="E737" s="2">
        <v>0</v>
      </c>
      <c r="F737" s="3" t="s">
        <v>56</v>
      </c>
      <c r="G737" s="3" t="s">
        <v>138</v>
      </c>
      <c r="H737" s="44">
        <v>735</v>
      </c>
    </row>
    <row r="738" spans="1:8" x14ac:dyDescent="0.35">
      <c r="A738" s="5">
        <v>42736</v>
      </c>
      <c r="B738" s="1">
        <v>85</v>
      </c>
      <c r="C738" s="1">
        <v>62</v>
      </c>
      <c r="D738" s="2">
        <v>40000</v>
      </c>
      <c r="E738" s="2">
        <v>0</v>
      </c>
      <c r="F738" s="3" t="s">
        <v>56</v>
      </c>
      <c r="G738" s="3" t="s">
        <v>421</v>
      </c>
      <c r="H738" s="44">
        <v>736</v>
      </c>
    </row>
    <row r="739" spans="1:8" x14ac:dyDescent="0.35">
      <c r="A739" s="5">
        <v>42736</v>
      </c>
      <c r="B739" s="1">
        <v>85</v>
      </c>
      <c r="C739" s="1">
        <v>62</v>
      </c>
      <c r="D739" s="2">
        <v>60000</v>
      </c>
      <c r="E739" s="2">
        <v>0</v>
      </c>
      <c r="F739" s="3" t="s">
        <v>56</v>
      </c>
      <c r="G739" s="3" t="s">
        <v>384</v>
      </c>
      <c r="H739" s="44">
        <v>737</v>
      </c>
    </row>
    <row r="740" spans="1:8" x14ac:dyDescent="0.35">
      <c r="A740" s="5">
        <v>42736</v>
      </c>
      <c r="B740" s="1">
        <v>85</v>
      </c>
      <c r="C740" s="1">
        <v>62</v>
      </c>
      <c r="D740" s="2">
        <v>80000</v>
      </c>
      <c r="E740" s="2">
        <v>0</v>
      </c>
      <c r="F740" s="3" t="s">
        <v>56</v>
      </c>
      <c r="G740" s="3" t="s">
        <v>473</v>
      </c>
      <c r="H740" s="44">
        <v>738</v>
      </c>
    </row>
    <row r="741" spans="1:8" x14ac:dyDescent="0.35">
      <c r="A741" s="5">
        <v>42736</v>
      </c>
      <c r="B741" s="1">
        <v>85</v>
      </c>
      <c r="C741" s="1">
        <v>62</v>
      </c>
      <c r="D741" s="2">
        <v>100000</v>
      </c>
      <c r="E741" s="2">
        <v>0</v>
      </c>
      <c r="F741" s="3" t="s">
        <v>56</v>
      </c>
      <c r="G741" s="3" t="s">
        <v>40</v>
      </c>
      <c r="H741" s="44">
        <v>739</v>
      </c>
    </row>
    <row r="742" spans="1:8" x14ac:dyDescent="0.35">
      <c r="A742" s="5">
        <v>42736</v>
      </c>
      <c r="B742" s="1">
        <v>85</v>
      </c>
      <c r="C742" s="1">
        <v>62</v>
      </c>
      <c r="D742" s="2">
        <v>120000</v>
      </c>
      <c r="E742" s="2">
        <v>0</v>
      </c>
      <c r="F742" s="3" t="s">
        <v>56</v>
      </c>
      <c r="G742" s="3" t="s">
        <v>326</v>
      </c>
      <c r="H742" s="44">
        <v>740</v>
      </c>
    </row>
    <row r="743" spans="1:8" x14ac:dyDescent="0.35">
      <c r="A743" s="5">
        <v>42736</v>
      </c>
      <c r="B743" s="1">
        <v>85</v>
      </c>
      <c r="C743" s="1">
        <v>62</v>
      </c>
      <c r="D743" s="2">
        <v>127200</v>
      </c>
      <c r="E743" s="2">
        <v>0</v>
      </c>
      <c r="F743" s="3" t="s">
        <v>56</v>
      </c>
      <c r="G743" s="3" t="s">
        <v>181</v>
      </c>
      <c r="H743" s="44">
        <v>741</v>
      </c>
    </row>
    <row r="744" spans="1:8" x14ac:dyDescent="0.35">
      <c r="A744" s="5">
        <v>42736</v>
      </c>
      <c r="B744" s="1">
        <v>85</v>
      </c>
      <c r="C744" s="1">
        <v>65</v>
      </c>
      <c r="D744" s="2">
        <v>20000</v>
      </c>
      <c r="E744" s="2">
        <v>0</v>
      </c>
      <c r="F744" s="3" t="s">
        <v>56</v>
      </c>
      <c r="G744" s="3" t="s">
        <v>185</v>
      </c>
      <c r="H744" s="44">
        <v>742</v>
      </c>
    </row>
    <row r="745" spans="1:8" x14ac:dyDescent="0.35">
      <c r="A745" s="5">
        <v>42736</v>
      </c>
      <c r="B745" s="1">
        <v>85</v>
      </c>
      <c r="C745" s="1">
        <v>65</v>
      </c>
      <c r="D745" s="2">
        <v>40000</v>
      </c>
      <c r="E745" s="2">
        <v>0</v>
      </c>
      <c r="F745" s="3" t="s">
        <v>56</v>
      </c>
      <c r="G745" s="3" t="s">
        <v>462</v>
      </c>
      <c r="H745" s="44">
        <v>743</v>
      </c>
    </row>
    <row r="746" spans="1:8" x14ac:dyDescent="0.35">
      <c r="A746" s="5">
        <v>42736</v>
      </c>
      <c r="B746" s="1">
        <v>85</v>
      </c>
      <c r="C746" s="1">
        <v>65</v>
      </c>
      <c r="D746" s="2">
        <v>60000</v>
      </c>
      <c r="E746" s="2">
        <v>0</v>
      </c>
      <c r="F746" s="3" t="s">
        <v>56</v>
      </c>
      <c r="G746" s="3" t="s">
        <v>146</v>
      </c>
      <c r="H746" s="44">
        <v>744</v>
      </c>
    </row>
    <row r="747" spans="1:8" x14ac:dyDescent="0.35">
      <c r="A747" s="5">
        <v>42736</v>
      </c>
      <c r="B747" s="1">
        <v>85</v>
      </c>
      <c r="C747" s="1">
        <v>65</v>
      </c>
      <c r="D747" s="2">
        <v>80000</v>
      </c>
      <c r="E747" s="2">
        <v>0</v>
      </c>
      <c r="F747" s="3" t="s">
        <v>56</v>
      </c>
      <c r="G747" s="3" t="s">
        <v>461</v>
      </c>
      <c r="H747" s="44">
        <v>745</v>
      </c>
    </row>
    <row r="748" spans="1:8" x14ac:dyDescent="0.35">
      <c r="A748" s="5">
        <v>42736</v>
      </c>
      <c r="B748" s="1">
        <v>85</v>
      </c>
      <c r="C748" s="1">
        <v>65</v>
      </c>
      <c r="D748" s="2">
        <v>100000</v>
      </c>
      <c r="E748" s="2">
        <v>0</v>
      </c>
      <c r="F748" s="3" t="s">
        <v>56</v>
      </c>
      <c r="G748" s="3" t="s">
        <v>574</v>
      </c>
      <c r="H748" s="44">
        <v>746</v>
      </c>
    </row>
    <row r="749" spans="1:8" x14ac:dyDescent="0.35">
      <c r="A749" s="5">
        <v>42736</v>
      </c>
      <c r="B749" s="1">
        <v>85</v>
      </c>
      <c r="C749" s="1">
        <v>65</v>
      </c>
      <c r="D749" s="2">
        <v>120000</v>
      </c>
      <c r="E749" s="2">
        <v>0</v>
      </c>
      <c r="F749" s="3" t="s">
        <v>56</v>
      </c>
      <c r="G749" s="3" t="s">
        <v>340</v>
      </c>
      <c r="H749" s="44">
        <v>747</v>
      </c>
    </row>
    <row r="750" spans="1:8" x14ac:dyDescent="0.35">
      <c r="A750" s="5">
        <v>42736</v>
      </c>
      <c r="B750" s="1">
        <v>85</v>
      </c>
      <c r="C750" s="1">
        <v>65</v>
      </c>
      <c r="D750" s="2">
        <v>127200</v>
      </c>
      <c r="E750" s="2">
        <v>0</v>
      </c>
      <c r="F750" s="3" t="s">
        <v>56</v>
      </c>
      <c r="G750" s="3" t="s">
        <v>719</v>
      </c>
      <c r="H750" s="44">
        <v>748</v>
      </c>
    </row>
    <row r="751" spans="1:8" x14ac:dyDescent="0.35">
      <c r="A751" s="5">
        <v>42736</v>
      </c>
      <c r="B751" s="1">
        <v>85</v>
      </c>
      <c r="C751" s="1">
        <v>67</v>
      </c>
      <c r="D751" s="2">
        <v>20000</v>
      </c>
      <c r="E751" s="2">
        <v>0</v>
      </c>
      <c r="F751" s="3" t="s">
        <v>56</v>
      </c>
      <c r="G751" s="3" t="s">
        <v>787</v>
      </c>
      <c r="H751" s="44">
        <v>749</v>
      </c>
    </row>
    <row r="752" spans="1:8" x14ac:dyDescent="0.35">
      <c r="A752" s="5">
        <v>42736</v>
      </c>
      <c r="B752" s="1">
        <v>85</v>
      </c>
      <c r="C752" s="1">
        <v>67</v>
      </c>
      <c r="D752" s="2">
        <v>40000</v>
      </c>
      <c r="E752" s="2">
        <v>0</v>
      </c>
      <c r="F752" s="3" t="s">
        <v>56</v>
      </c>
      <c r="G752" s="3" t="s">
        <v>269</v>
      </c>
      <c r="H752" s="44">
        <v>750</v>
      </c>
    </row>
    <row r="753" spans="1:8" x14ac:dyDescent="0.35">
      <c r="A753" s="5">
        <v>42736</v>
      </c>
      <c r="B753" s="1">
        <v>85</v>
      </c>
      <c r="C753" s="1">
        <v>67</v>
      </c>
      <c r="D753" s="2">
        <v>60000</v>
      </c>
      <c r="E753" s="2">
        <v>0</v>
      </c>
      <c r="F753" s="3" t="s">
        <v>56</v>
      </c>
      <c r="G753" s="3" t="s">
        <v>15</v>
      </c>
      <c r="H753" s="44">
        <v>751</v>
      </c>
    </row>
    <row r="754" spans="1:8" x14ac:dyDescent="0.35">
      <c r="A754" s="5">
        <v>42736</v>
      </c>
      <c r="B754" s="1">
        <v>85</v>
      </c>
      <c r="C754" s="1">
        <v>67</v>
      </c>
      <c r="D754" s="2">
        <v>80000</v>
      </c>
      <c r="E754" s="2">
        <v>0</v>
      </c>
      <c r="F754" s="3" t="s">
        <v>56</v>
      </c>
      <c r="G754" s="3" t="s">
        <v>483</v>
      </c>
      <c r="H754" s="44">
        <v>752</v>
      </c>
    </row>
    <row r="755" spans="1:8" x14ac:dyDescent="0.35">
      <c r="A755" s="5">
        <v>42736</v>
      </c>
      <c r="B755" s="1">
        <v>85</v>
      </c>
      <c r="C755" s="1">
        <v>67</v>
      </c>
      <c r="D755" s="2">
        <v>100000</v>
      </c>
      <c r="E755" s="2">
        <v>0</v>
      </c>
      <c r="F755" s="3" t="s">
        <v>56</v>
      </c>
      <c r="G755" s="3" t="s">
        <v>60</v>
      </c>
      <c r="H755" s="44">
        <v>753</v>
      </c>
    </row>
    <row r="756" spans="1:8" x14ac:dyDescent="0.35">
      <c r="A756" s="5">
        <v>42736</v>
      </c>
      <c r="B756" s="1">
        <v>85</v>
      </c>
      <c r="C756" s="1">
        <v>67</v>
      </c>
      <c r="D756" s="2">
        <v>120000</v>
      </c>
      <c r="E756" s="2">
        <v>0</v>
      </c>
      <c r="F756" s="3" t="s">
        <v>56</v>
      </c>
      <c r="G756" s="3" t="s">
        <v>578</v>
      </c>
      <c r="H756" s="44">
        <v>754</v>
      </c>
    </row>
    <row r="757" spans="1:8" x14ac:dyDescent="0.35">
      <c r="A757" s="5">
        <v>42736</v>
      </c>
      <c r="B757" s="1">
        <v>85</v>
      </c>
      <c r="C757" s="1">
        <v>67</v>
      </c>
      <c r="D757" s="2">
        <v>127200</v>
      </c>
      <c r="E757" s="2">
        <v>0</v>
      </c>
      <c r="F757" s="3" t="s">
        <v>56</v>
      </c>
      <c r="G757" s="3" t="s">
        <v>569</v>
      </c>
      <c r="H757" s="44">
        <v>755</v>
      </c>
    </row>
    <row r="758" spans="1:8" x14ac:dyDescent="0.35">
      <c r="A758" s="5">
        <v>42736</v>
      </c>
      <c r="B758" s="1">
        <v>85</v>
      </c>
      <c r="C758" s="1">
        <v>70</v>
      </c>
      <c r="D758" s="2">
        <v>20000</v>
      </c>
      <c r="E758" s="2">
        <v>0</v>
      </c>
      <c r="F758" s="3" t="s">
        <v>56</v>
      </c>
      <c r="G758" s="3" t="s">
        <v>331</v>
      </c>
      <c r="H758" s="44">
        <v>756</v>
      </c>
    </row>
    <row r="759" spans="1:8" x14ac:dyDescent="0.35">
      <c r="A759" s="5">
        <v>42736</v>
      </c>
      <c r="B759" s="1">
        <v>85</v>
      </c>
      <c r="C759" s="1">
        <v>70</v>
      </c>
      <c r="D759" s="2">
        <v>40000</v>
      </c>
      <c r="E759" s="2">
        <v>0</v>
      </c>
      <c r="F759" s="3" t="s">
        <v>56</v>
      </c>
      <c r="G759" s="3" t="s">
        <v>65</v>
      </c>
      <c r="H759" s="44">
        <v>757</v>
      </c>
    </row>
    <row r="760" spans="1:8" x14ac:dyDescent="0.35">
      <c r="A760" s="5">
        <v>42736</v>
      </c>
      <c r="B760" s="1">
        <v>85</v>
      </c>
      <c r="C760" s="1">
        <v>70</v>
      </c>
      <c r="D760" s="2">
        <v>60000</v>
      </c>
      <c r="E760" s="2">
        <v>0</v>
      </c>
      <c r="F760" s="3" t="s">
        <v>56</v>
      </c>
      <c r="G760" s="3" t="s">
        <v>78</v>
      </c>
      <c r="H760" s="44">
        <v>758</v>
      </c>
    </row>
    <row r="761" spans="1:8" x14ac:dyDescent="0.35">
      <c r="A761" s="5">
        <v>42736</v>
      </c>
      <c r="B761" s="1">
        <v>85</v>
      </c>
      <c r="C761" s="1">
        <v>70</v>
      </c>
      <c r="D761" s="2">
        <v>80000</v>
      </c>
      <c r="E761" s="2">
        <v>0</v>
      </c>
      <c r="F761" s="3" t="s">
        <v>56</v>
      </c>
      <c r="G761" s="3" t="s">
        <v>334</v>
      </c>
      <c r="H761" s="44">
        <v>759</v>
      </c>
    </row>
    <row r="762" spans="1:8" x14ac:dyDescent="0.35">
      <c r="A762" s="5">
        <v>42736</v>
      </c>
      <c r="B762" s="1">
        <v>85</v>
      </c>
      <c r="C762" s="1">
        <v>70</v>
      </c>
      <c r="D762" s="2">
        <v>100000</v>
      </c>
      <c r="E762" s="2">
        <v>0</v>
      </c>
      <c r="F762" s="3" t="s">
        <v>56</v>
      </c>
      <c r="G762" s="3" t="s">
        <v>363</v>
      </c>
      <c r="H762" s="44">
        <v>760</v>
      </c>
    </row>
    <row r="763" spans="1:8" x14ac:dyDescent="0.35">
      <c r="A763" s="5">
        <v>42736</v>
      </c>
      <c r="B763" s="1">
        <v>85</v>
      </c>
      <c r="C763" s="1">
        <v>70</v>
      </c>
      <c r="D763" s="2">
        <v>120000</v>
      </c>
      <c r="E763" s="2">
        <v>0</v>
      </c>
      <c r="F763" s="3" t="s">
        <v>56</v>
      </c>
      <c r="G763" s="3" t="s">
        <v>183</v>
      </c>
      <c r="H763" s="44">
        <v>761</v>
      </c>
    </row>
    <row r="764" spans="1:8" x14ac:dyDescent="0.35">
      <c r="A764" s="5">
        <v>42736</v>
      </c>
      <c r="B764" s="1">
        <v>85</v>
      </c>
      <c r="C764" s="1">
        <v>70</v>
      </c>
      <c r="D764" s="2">
        <v>127200</v>
      </c>
      <c r="E764" s="2">
        <v>0</v>
      </c>
      <c r="F764" s="3" t="s">
        <v>56</v>
      </c>
      <c r="G764" s="3" t="s">
        <v>224</v>
      </c>
      <c r="H764" s="44">
        <v>762</v>
      </c>
    </row>
    <row r="765" spans="1:8" x14ac:dyDescent="0.35">
      <c r="A765" s="5">
        <v>42736</v>
      </c>
      <c r="B765" s="1">
        <v>85</v>
      </c>
      <c r="C765" s="1">
        <v>75</v>
      </c>
      <c r="D765" s="2">
        <v>20000</v>
      </c>
      <c r="E765" s="2">
        <v>0</v>
      </c>
      <c r="F765" s="3" t="s">
        <v>56</v>
      </c>
      <c r="G765" s="3" t="s">
        <v>204</v>
      </c>
      <c r="H765" s="44">
        <v>763</v>
      </c>
    </row>
    <row r="766" spans="1:8" x14ac:dyDescent="0.35">
      <c r="A766" s="5">
        <v>42736</v>
      </c>
      <c r="B766" s="1">
        <v>85</v>
      </c>
      <c r="C766" s="1">
        <v>75</v>
      </c>
      <c r="D766" s="2">
        <v>40000</v>
      </c>
      <c r="E766" s="2">
        <v>0</v>
      </c>
      <c r="F766" s="3" t="s">
        <v>56</v>
      </c>
      <c r="G766" s="3" t="s">
        <v>87</v>
      </c>
      <c r="H766" s="44">
        <v>764</v>
      </c>
    </row>
    <row r="767" spans="1:8" x14ac:dyDescent="0.35">
      <c r="A767" s="5">
        <v>42736</v>
      </c>
      <c r="B767" s="1">
        <v>85</v>
      </c>
      <c r="C767" s="1">
        <v>75</v>
      </c>
      <c r="D767" s="2">
        <v>60000</v>
      </c>
      <c r="E767" s="2">
        <v>0</v>
      </c>
      <c r="F767" s="3" t="s">
        <v>56</v>
      </c>
      <c r="G767" s="3" t="s">
        <v>124</v>
      </c>
      <c r="H767" s="44">
        <v>765</v>
      </c>
    </row>
    <row r="768" spans="1:8" x14ac:dyDescent="0.35">
      <c r="A768" s="5">
        <v>42736</v>
      </c>
      <c r="B768" s="1">
        <v>85</v>
      </c>
      <c r="C768" s="1">
        <v>75</v>
      </c>
      <c r="D768" s="2">
        <v>80000</v>
      </c>
      <c r="E768" s="2">
        <v>0</v>
      </c>
      <c r="F768" s="3" t="s">
        <v>56</v>
      </c>
      <c r="G768" s="3" t="s">
        <v>550</v>
      </c>
      <c r="H768" s="44">
        <v>766</v>
      </c>
    </row>
    <row r="769" spans="1:8" x14ac:dyDescent="0.35">
      <c r="A769" s="5">
        <v>42736</v>
      </c>
      <c r="B769" s="1">
        <v>85</v>
      </c>
      <c r="C769" s="1">
        <v>75</v>
      </c>
      <c r="D769" s="2">
        <v>100000</v>
      </c>
      <c r="E769" s="2">
        <v>0</v>
      </c>
      <c r="F769" s="3" t="s">
        <v>56</v>
      </c>
      <c r="G769" s="3" t="s">
        <v>687</v>
      </c>
      <c r="H769" s="44">
        <v>767</v>
      </c>
    </row>
    <row r="770" spans="1:8" x14ac:dyDescent="0.35">
      <c r="A770" s="5">
        <v>42736</v>
      </c>
      <c r="B770" s="1">
        <v>85</v>
      </c>
      <c r="C770" s="1">
        <v>75</v>
      </c>
      <c r="D770" s="2">
        <v>120000</v>
      </c>
      <c r="E770" s="2">
        <v>0</v>
      </c>
      <c r="F770" s="3" t="s">
        <v>56</v>
      </c>
      <c r="G770" s="3" t="s">
        <v>86</v>
      </c>
      <c r="H770" s="44">
        <v>768</v>
      </c>
    </row>
    <row r="771" spans="1:8" x14ac:dyDescent="0.35">
      <c r="A771" s="5">
        <v>42736</v>
      </c>
      <c r="B771" s="1">
        <v>85</v>
      </c>
      <c r="C771" s="1">
        <v>75</v>
      </c>
      <c r="D771" s="2">
        <v>127200</v>
      </c>
      <c r="E771" s="2">
        <v>0</v>
      </c>
      <c r="F771" s="3" t="s">
        <v>56</v>
      </c>
      <c r="G771" s="3" t="s">
        <v>540</v>
      </c>
      <c r="H771" s="44">
        <v>769</v>
      </c>
    </row>
    <row r="772" spans="1:8" x14ac:dyDescent="0.35">
      <c r="A772" s="5">
        <v>42736</v>
      </c>
      <c r="B772" s="1">
        <v>85</v>
      </c>
      <c r="C772" s="1">
        <v>80</v>
      </c>
      <c r="D772" s="2">
        <v>20000</v>
      </c>
      <c r="E772" s="2">
        <v>0</v>
      </c>
      <c r="F772" s="3" t="s">
        <v>56</v>
      </c>
      <c r="G772" s="3" t="s">
        <v>642</v>
      </c>
      <c r="H772" s="44">
        <v>770</v>
      </c>
    </row>
    <row r="773" spans="1:8" x14ac:dyDescent="0.35">
      <c r="A773" s="5">
        <v>42736</v>
      </c>
      <c r="B773" s="1">
        <v>85</v>
      </c>
      <c r="C773" s="1">
        <v>80</v>
      </c>
      <c r="D773" s="2">
        <v>40000</v>
      </c>
      <c r="E773" s="2">
        <v>0</v>
      </c>
      <c r="F773" s="3" t="s">
        <v>56</v>
      </c>
      <c r="G773" s="3" t="s">
        <v>129</v>
      </c>
      <c r="H773" s="44">
        <v>771</v>
      </c>
    </row>
    <row r="774" spans="1:8" x14ac:dyDescent="0.35">
      <c r="A774" s="5">
        <v>42736</v>
      </c>
      <c r="B774" s="1">
        <v>85</v>
      </c>
      <c r="C774" s="1">
        <v>80</v>
      </c>
      <c r="D774" s="2">
        <v>60000</v>
      </c>
      <c r="E774" s="2">
        <v>0</v>
      </c>
      <c r="F774" s="3" t="s">
        <v>56</v>
      </c>
      <c r="G774" s="3" t="s">
        <v>479</v>
      </c>
      <c r="H774" s="44">
        <v>772</v>
      </c>
    </row>
    <row r="775" spans="1:8" x14ac:dyDescent="0.35">
      <c r="A775" s="5">
        <v>42736</v>
      </c>
      <c r="B775" s="1">
        <v>85</v>
      </c>
      <c r="C775" s="1">
        <v>80</v>
      </c>
      <c r="D775" s="2">
        <v>80000</v>
      </c>
      <c r="E775" s="2">
        <v>0</v>
      </c>
      <c r="F775" s="3" t="s">
        <v>56</v>
      </c>
      <c r="G775" s="3" t="s">
        <v>215</v>
      </c>
      <c r="H775" s="44">
        <v>773</v>
      </c>
    </row>
    <row r="776" spans="1:8" x14ac:dyDescent="0.35">
      <c r="A776" s="5">
        <v>42736</v>
      </c>
      <c r="B776" s="1">
        <v>85</v>
      </c>
      <c r="C776" s="1">
        <v>80</v>
      </c>
      <c r="D776" s="2">
        <v>100000</v>
      </c>
      <c r="E776" s="2">
        <v>0</v>
      </c>
      <c r="F776" s="3" t="s">
        <v>56</v>
      </c>
      <c r="G776" s="3" t="s">
        <v>609</v>
      </c>
      <c r="H776" s="44">
        <v>774</v>
      </c>
    </row>
    <row r="777" spans="1:8" x14ac:dyDescent="0.35">
      <c r="A777" s="5">
        <v>42736</v>
      </c>
      <c r="B777" s="1">
        <v>85</v>
      </c>
      <c r="C777" s="1">
        <v>80</v>
      </c>
      <c r="D777" s="2">
        <v>120000</v>
      </c>
      <c r="E777" s="2">
        <v>0</v>
      </c>
      <c r="F777" s="3" t="s">
        <v>56</v>
      </c>
      <c r="G777" s="3" t="s">
        <v>441</v>
      </c>
      <c r="H777" s="44">
        <v>775</v>
      </c>
    </row>
    <row r="778" spans="1:8" x14ac:dyDescent="0.35">
      <c r="A778" s="5">
        <v>42736</v>
      </c>
      <c r="B778" s="1">
        <v>85</v>
      </c>
      <c r="C778" s="1">
        <v>80</v>
      </c>
      <c r="D778" s="2">
        <v>127200</v>
      </c>
      <c r="E778" s="2">
        <v>0</v>
      </c>
      <c r="F778" s="3" t="s">
        <v>56</v>
      </c>
      <c r="G778" s="3" t="s">
        <v>323</v>
      </c>
      <c r="H778" s="44">
        <v>776</v>
      </c>
    </row>
    <row r="779" spans="1:8" x14ac:dyDescent="0.35">
      <c r="A779" s="5">
        <v>42736</v>
      </c>
      <c r="B779" s="1">
        <v>85</v>
      </c>
      <c r="C779" s="1">
        <v>85</v>
      </c>
      <c r="D779" s="2">
        <v>20000</v>
      </c>
      <c r="E779" s="2">
        <v>1010</v>
      </c>
      <c r="F779" s="3" t="s">
        <v>56</v>
      </c>
      <c r="G779" s="3" t="s">
        <v>641</v>
      </c>
      <c r="H779" s="44">
        <v>777</v>
      </c>
    </row>
    <row r="780" spans="1:8" x14ac:dyDescent="0.35">
      <c r="A780" s="5">
        <v>42736</v>
      </c>
      <c r="B780" s="1">
        <v>85</v>
      </c>
      <c r="C780" s="1">
        <v>85</v>
      </c>
      <c r="D780" s="2">
        <v>40000</v>
      </c>
      <c r="E780" s="2">
        <v>1531</v>
      </c>
      <c r="F780" s="3" t="s">
        <v>56</v>
      </c>
      <c r="G780" s="3" t="s">
        <v>636</v>
      </c>
      <c r="H780" s="44">
        <v>778</v>
      </c>
    </row>
    <row r="781" spans="1:8" x14ac:dyDescent="0.35">
      <c r="A781" s="5">
        <v>42736</v>
      </c>
      <c r="B781" s="1">
        <v>85</v>
      </c>
      <c r="C781" s="1">
        <v>85</v>
      </c>
      <c r="D781" s="2">
        <v>60000</v>
      </c>
      <c r="E781" s="2">
        <v>2052</v>
      </c>
      <c r="F781" s="3" t="s">
        <v>56</v>
      </c>
      <c r="G781" s="3" t="s">
        <v>25</v>
      </c>
      <c r="H781" s="44">
        <v>779</v>
      </c>
    </row>
    <row r="782" spans="1:8" x14ac:dyDescent="0.35">
      <c r="A782" s="5">
        <v>42736</v>
      </c>
      <c r="B782" s="1">
        <v>85</v>
      </c>
      <c r="C782" s="1">
        <v>85</v>
      </c>
      <c r="D782" s="2">
        <v>80000</v>
      </c>
      <c r="E782" s="2">
        <v>2336</v>
      </c>
      <c r="F782" s="3" t="s">
        <v>56</v>
      </c>
      <c r="G782" s="3" t="s">
        <v>514</v>
      </c>
      <c r="H782" s="44">
        <v>780</v>
      </c>
    </row>
    <row r="783" spans="1:8" x14ac:dyDescent="0.35">
      <c r="A783" s="5">
        <v>42736</v>
      </c>
      <c r="B783" s="1">
        <v>85</v>
      </c>
      <c r="C783" s="1">
        <v>85</v>
      </c>
      <c r="D783" s="2">
        <v>100000</v>
      </c>
      <c r="E783" s="2">
        <v>2580</v>
      </c>
      <c r="F783" s="3" t="s">
        <v>56</v>
      </c>
      <c r="G783" s="3" t="s">
        <v>539</v>
      </c>
      <c r="H783" s="44">
        <v>781</v>
      </c>
    </row>
    <row r="784" spans="1:8" x14ac:dyDescent="0.35">
      <c r="A784" s="5">
        <v>42736</v>
      </c>
      <c r="B784" s="1">
        <v>85</v>
      </c>
      <c r="C784" s="1">
        <v>85</v>
      </c>
      <c r="D784" s="2">
        <v>120000</v>
      </c>
      <c r="E784" s="2">
        <v>2824</v>
      </c>
      <c r="F784" s="3" t="s">
        <v>56</v>
      </c>
      <c r="G784" s="3" t="s">
        <v>18</v>
      </c>
      <c r="H784" s="44">
        <v>782</v>
      </c>
    </row>
    <row r="785" spans="1:8" x14ac:dyDescent="0.35">
      <c r="A785" s="5">
        <v>42736</v>
      </c>
      <c r="B785" s="1">
        <v>85</v>
      </c>
      <c r="C785" s="1">
        <v>85</v>
      </c>
      <c r="D785" s="2">
        <v>127200</v>
      </c>
      <c r="E785" s="2">
        <v>2912</v>
      </c>
      <c r="F785" s="3" t="s">
        <v>56</v>
      </c>
      <c r="G785" s="3" t="s">
        <v>41</v>
      </c>
      <c r="H785" s="44">
        <v>783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R82"/>
  <sheetViews>
    <sheetView workbookViewId="0">
      <selection activeCell="G10" sqref="G10"/>
    </sheetView>
  </sheetViews>
  <sheetFormatPr defaultRowHeight="12.75" x14ac:dyDescent="0.35"/>
  <cols>
    <col min="7" max="7" width="17.59765625" bestFit="1" customWidth="1"/>
    <col min="8" max="8" width="10.265625" customWidth="1"/>
    <col min="9" max="9" width="11.1328125" bestFit="1" customWidth="1"/>
    <col min="11" max="11" width="10.3984375" bestFit="1" customWidth="1"/>
    <col min="13" max="13" width="11.265625" bestFit="1" customWidth="1"/>
    <col min="14" max="14" width="10.265625" bestFit="1" customWidth="1"/>
    <col min="15" max="15" width="12.73046875" bestFit="1" customWidth="1"/>
    <col min="16" max="16" width="14.3984375" bestFit="1" customWidth="1"/>
    <col min="17" max="17" width="8.59765625" bestFit="1" customWidth="1"/>
    <col min="18" max="18" width="9.59765625" bestFit="1" customWidth="1"/>
    <col min="19" max="70" width="9.59765625" customWidth="1"/>
  </cols>
  <sheetData>
    <row r="1" spans="1:70" ht="13.15" thickBot="1" x14ac:dyDescent="0.4">
      <c r="A1">
        <v>60</v>
      </c>
      <c r="B1">
        <v>62</v>
      </c>
      <c r="C1">
        <v>0</v>
      </c>
      <c r="D1">
        <v>0</v>
      </c>
      <c r="G1" s="15"/>
      <c r="H1" s="13" t="s">
        <v>793</v>
      </c>
      <c r="I1" s="14" t="s">
        <v>794</v>
      </c>
      <c r="N1" t="s">
        <v>809</v>
      </c>
      <c r="O1" t="s">
        <v>810</v>
      </c>
      <c r="P1" t="s">
        <v>811</v>
      </c>
      <c r="Q1" t="s">
        <v>807</v>
      </c>
      <c r="R1" t="s">
        <v>808</v>
      </c>
      <c r="S1">
        <v>62</v>
      </c>
      <c r="T1">
        <v>63</v>
      </c>
      <c r="U1">
        <v>64</v>
      </c>
      <c r="V1">
        <v>65</v>
      </c>
      <c r="W1">
        <v>66</v>
      </c>
      <c r="X1">
        <v>67</v>
      </c>
      <c r="Y1">
        <v>68</v>
      </c>
      <c r="Z1">
        <v>69</v>
      </c>
      <c r="AA1">
        <v>70</v>
      </c>
      <c r="AB1">
        <v>71</v>
      </c>
      <c r="AC1">
        <v>72</v>
      </c>
      <c r="AD1">
        <v>73</v>
      </c>
      <c r="AE1">
        <v>74</v>
      </c>
      <c r="AF1">
        <v>75</v>
      </c>
      <c r="AG1">
        <v>76</v>
      </c>
      <c r="AH1">
        <v>77</v>
      </c>
      <c r="AI1">
        <v>78</v>
      </c>
      <c r="AJ1">
        <v>79</v>
      </c>
      <c r="AK1">
        <v>80</v>
      </c>
      <c r="AL1">
        <v>81</v>
      </c>
      <c r="AM1">
        <v>82</v>
      </c>
      <c r="AN1">
        <v>83</v>
      </c>
      <c r="AO1">
        <v>84</v>
      </c>
      <c r="AP1">
        <v>85</v>
      </c>
      <c r="AQ1">
        <v>86</v>
      </c>
      <c r="AR1">
        <v>87</v>
      </c>
      <c r="AS1">
        <v>88</v>
      </c>
      <c r="AT1">
        <v>89</v>
      </c>
      <c r="AU1">
        <v>90</v>
      </c>
      <c r="AV1">
        <v>91</v>
      </c>
      <c r="AW1">
        <v>92</v>
      </c>
      <c r="AX1">
        <v>93</v>
      </c>
      <c r="AY1">
        <v>94</v>
      </c>
      <c r="AZ1">
        <v>95</v>
      </c>
      <c r="BA1">
        <v>96</v>
      </c>
      <c r="BB1">
        <v>97</v>
      </c>
      <c r="BC1">
        <v>98</v>
      </c>
      <c r="BD1">
        <v>99</v>
      </c>
      <c r="BE1">
        <v>100</v>
      </c>
      <c r="BF1">
        <v>101</v>
      </c>
      <c r="BG1">
        <v>102</v>
      </c>
      <c r="BH1">
        <v>103</v>
      </c>
      <c r="BI1">
        <v>104</v>
      </c>
      <c r="BJ1">
        <v>105</v>
      </c>
      <c r="BK1">
        <v>106</v>
      </c>
      <c r="BL1">
        <v>107</v>
      </c>
      <c r="BM1">
        <v>108</v>
      </c>
      <c r="BN1">
        <v>109</v>
      </c>
      <c r="BO1">
        <v>110</v>
      </c>
      <c r="BP1">
        <v>111</v>
      </c>
      <c r="BQ1">
        <v>112</v>
      </c>
      <c r="BR1">
        <v>113</v>
      </c>
    </row>
    <row r="2" spans="1:70" x14ac:dyDescent="0.35">
      <c r="A2" s="2">
        <v>60</v>
      </c>
      <c r="B2" s="2">
        <v>62</v>
      </c>
      <c r="C2" s="2">
        <v>20000</v>
      </c>
      <c r="D2" s="2">
        <v>650</v>
      </c>
      <c r="G2" s="20" t="s">
        <v>792</v>
      </c>
      <c r="H2" s="17">
        <v>60</v>
      </c>
      <c r="I2" s="11">
        <v>60</v>
      </c>
      <c r="N2" s="10">
        <f>SUM(S2:BR2)*12</f>
        <v>741321.60000000033</v>
      </c>
      <c r="O2">
        <v>62</v>
      </c>
      <c r="P2">
        <v>62</v>
      </c>
      <c r="Q2" t="b">
        <v>1</v>
      </c>
      <c r="R2" t="b">
        <v>1</v>
      </c>
      <c r="S2" s="10">
        <v>2162.4</v>
      </c>
      <c r="T2" s="10">
        <v>2162.4</v>
      </c>
      <c r="U2" s="10">
        <v>2162.4</v>
      </c>
      <c r="V2" s="10">
        <v>2162.4</v>
      </c>
      <c r="W2" s="10">
        <v>2162.4</v>
      </c>
      <c r="X2" s="10">
        <v>2162.4</v>
      </c>
      <c r="Y2" s="10">
        <v>2162.4</v>
      </c>
      <c r="Z2" s="10">
        <v>2162.4</v>
      </c>
      <c r="AA2" s="10">
        <v>2162.4</v>
      </c>
      <c r="AB2" s="10">
        <v>2162.4</v>
      </c>
      <c r="AC2" s="10">
        <v>2162.4</v>
      </c>
      <c r="AD2" s="10">
        <v>2162.4</v>
      </c>
      <c r="AE2" s="10">
        <v>2162.4</v>
      </c>
      <c r="AF2" s="10">
        <v>2162.4</v>
      </c>
      <c r="AG2" s="10">
        <v>2162.4</v>
      </c>
      <c r="AH2" s="10">
        <v>2162.4</v>
      </c>
      <c r="AI2" s="10">
        <v>2162.4</v>
      </c>
      <c r="AJ2" s="10">
        <v>2162.4</v>
      </c>
      <c r="AK2" s="10">
        <v>2162.4</v>
      </c>
      <c r="AL2" s="10">
        <v>2162.4</v>
      </c>
      <c r="AM2" s="10">
        <v>2162.4</v>
      </c>
      <c r="AN2" s="10">
        <v>2162.4</v>
      </c>
      <c r="AO2" s="10">
        <v>2162.4</v>
      </c>
      <c r="AP2" s="10">
        <v>2162.4</v>
      </c>
      <c r="AQ2" s="10">
        <v>2162.4</v>
      </c>
      <c r="AR2" s="10">
        <v>2162.4</v>
      </c>
      <c r="AS2" s="10">
        <v>2162.4</v>
      </c>
      <c r="AT2" s="10">
        <v>1696</v>
      </c>
      <c r="AU2" s="10">
        <v>1696</v>
      </c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</row>
    <row r="3" spans="1:70" x14ac:dyDescent="0.35">
      <c r="A3" s="2">
        <v>60</v>
      </c>
      <c r="B3" s="2">
        <v>62</v>
      </c>
      <c r="C3" s="2">
        <v>40000</v>
      </c>
      <c r="D3" s="2">
        <v>929</v>
      </c>
      <c r="G3" s="21" t="s">
        <v>795</v>
      </c>
      <c r="H3" s="18">
        <v>100000</v>
      </c>
      <c r="I3" s="16">
        <v>0</v>
      </c>
      <c r="N3" s="10">
        <f t="shared" ref="N3:N66" si="0">SUM(S3:BR3)*12</f>
        <v>771001.60000000009</v>
      </c>
      <c r="O3">
        <v>62</v>
      </c>
      <c r="P3">
        <v>63</v>
      </c>
      <c r="Q3" t="b">
        <v>1</v>
      </c>
      <c r="R3" t="b">
        <v>1</v>
      </c>
      <c r="S3" s="10">
        <v>1696</v>
      </c>
      <c r="T3" s="10">
        <v>2275.4666666666667</v>
      </c>
      <c r="U3" s="10">
        <v>2275.4666666666667</v>
      </c>
      <c r="V3" s="10">
        <v>2275.4666666666667</v>
      </c>
      <c r="W3" s="10">
        <v>2275.4666666666667</v>
      </c>
      <c r="X3" s="10">
        <v>2275.4666666666667</v>
      </c>
      <c r="Y3" s="10">
        <v>2275.4666666666667</v>
      </c>
      <c r="Z3" s="10">
        <v>2275.4666666666667</v>
      </c>
      <c r="AA3" s="10">
        <v>2275.4666666666667</v>
      </c>
      <c r="AB3" s="10">
        <v>2275.4666666666667</v>
      </c>
      <c r="AC3" s="10">
        <v>2275.4666666666667</v>
      </c>
      <c r="AD3" s="10">
        <v>2275.4666666666667</v>
      </c>
      <c r="AE3" s="10">
        <v>2275.4666666666667</v>
      </c>
      <c r="AF3" s="10">
        <v>2275.4666666666667</v>
      </c>
      <c r="AG3" s="10">
        <v>2275.4666666666667</v>
      </c>
      <c r="AH3" s="10">
        <v>2275.4666666666667</v>
      </c>
      <c r="AI3" s="10">
        <v>2275.4666666666667</v>
      </c>
      <c r="AJ3" s="10">
        <v>2275.4666666666667</v>
      </c>
      <c r="AK3" s="10">
        <v>2275.4666666666667</v>
      </c>
      <c r="AL3" s="10">
        <v>2275.4666666666667</v>
      </c>
      <c r="AM3" s="10">
        <v>2275.4666666666667</v>
      </c>
      <c r="AN3" s="10">
        <v>2275.4666666666667</v>
      </c>
      <c r="AO3" s="10">
        <v>2275.4666666666667</v>
      </c>
      <c r="AP3" s="10">
        <v>2275.4666666666667</v>
      </c>
      <c r="AQ3" s="10">
        <v>2275.4666666666667</v>
      </c>
      <c r="AR3" s="10">
        <v>2275.4666666666667</v>
      </c>
      <c r="AS3" s="10">
        <v>2275.4666666666667</v>
      </c>
      <c r="AT3" s="10">
        <v>1696</v>
      </c>
      <c r="AU3" s="10">
        <v>1696</v>
      </c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</row>
    <row r="4" spans="1:70" ht="13.15" thickBot="1" x14ac:dyDescent="0.4">
      <c r="A4" s="2">
        <v>60</v>
      </c>
      <c r="B4" s="2">
        <v>62</v>
      </c>
      <c r="C4" s="2">
        <v>60000</v>
      </c>
      <c r="D4" s="2">
        <v>1203</v>
      </c>
      <c r="G4" s="22" t="s">
        <v>812</v>
      </c>
      <c r="H4" s="19">
        <v>88</v>
      </c>
      <c r="I4" s="12">
        <v>90</v>
      </c>
      <c r="N4" s="10">
        <f t="shared" si="0"/>
        <v>791608.00000000023</v>
      </c>
      <c r="O4">
        <v>62</v>
      </c>
      <c r="P4">
        <v>64</v>
      </c>
      <c r="Q4" t="b">
        <v>1</v>
      </c>
      <c r="R4" t="b">
        <v>1</v>
      </c>
      <c r="S4" s="10">
        <v>1696</v>
      </c>
      <c r="T4" s="10">
        <v>1696</v>
      </c>
      <c r="U4" s="10">
        <v>2367.3333333333335</v>
      </c>
      <c r="V4" s="10">
        <v>2367.3333333333335</v>
      </c>
      <c r="W4" s="10">
        <v>2367.3333333333335</v>
      </c>
      <c r="X4" s="10">
        <v>2367.3333333333335</v>
      </c>
      <c r="Y4" s="10">
        <v>2367.3333333333335</v>
      </c>
      <c r="Z4" s="10">
        <v>2367.3333333333335</v>
      </c>
      <c r="AA4" s="10">
        <v>2367.3333333333335</v>
      </c>
      <c r="AB4" s="10">
        <v>2367.3333333333335</v>
      </c>
      <c r="AC4" s="10">
        <v>2367.3333333333335</v>
      </c>
      <c r="AD4" s="10">
        <v>2367.3333333333335</v>
      </c>
      <c r="AE4" s="10">
        <v>2367.3333333333335</v>
      </c>
      <c r="AF4" s="10">
        <v>2367.3333333333335</v>
      </c>
      <c r="AG4" s="10">
        <v>2367.3333333333335</v>
      </c>
      <c r="AH4" s="10">
        <v>2367.3333333333335</v>
      </c>
      <c r="AI4" s="10">
        <v>2367.3333333333335</v>
      </c>
      <c r="AJ4" s="10">
        <v>2367.3333333333335</v>
      </c>
      <c r="AK4" s="10">
        <v>2367.3333333333335</v>
      </c>
      <c r="AL4" s="10">
        <v>2367.3333333333335</v>
      </c>
      <c r="AM4" s="10">
        <v>2367.3333333333335</v>
      </c>
      <c r="AN4" s="10">
        <v>2367.3333333333335</v>
      </c>
      <c r="AO4" s="10">
        <v>2367.3333333333335</v>
      </c>
      <c r="AP4" s="10">
        <v>2367.3333333333335</v>
      </c>
      <c r="AQ4" s="10">
        <v>2367.3333333333335</v>
      </c>
      <c r="AR4" s="10">
        <v>2367.3333333333335</v>
      </c>
      <c r="AS4" s="10">
        <v>2367.3333333333335</v>
      </c>
      <c r="AT4" s="10">
        <v>1696</v>
      </c>
      <c r="AU4" s="10">
        <v>1696</v>
      </c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</row>
    <row r="5" spans="1:70" ht="13.15" thickBot="1" x14ac:dyDescent="0.4">
      <c r="A5" s="2">
        <v>60</v>
      </c>
      <c r="B5" s="2">
        <v>62</v>
      </c>
      <c r="C5" s="2">
        <v>80000</v>
      </c>
      <c r="D5" s="2">
        <v>1478</v>
      </c>
      <c r="N5" s="10">
        <f t="shared" si="0"/>
        <v>803904</v>
      </c>
      <c r="O5">
        <v>62</v>
      </c>
      <c r="P5">
        <v>65</v>
      </c>
      <c r="Q5" t="b">
        <v>1</v>
      </c>
      <c r="R5" t="b">
        <v>1</v>
      </c>
      <c r="S5" s="10">
        <v>1696</v>
      </c>
      <c r="T5" s="10">
        <v>1696</v>
      </c>
      <c r="U5" s="10">
        <v>1696</v>
      </c>
      <c r="V5" s="10">
        <v>2438</v>
      </c>
      <c r="W5" s="10">
        <v>2438</v>
      </c>
      <c r="X5" s="10">
        <v>2438</v>
      </c>
      <c r="Y5" s="10">
        <v>2438</v>
      </c>
      <c r="Z5" s="10">
        <v>2438</v>
      </c>
      <c r="AA5" s="10">
        <v>2438</v>
      </c>
      <c r="AB5" s="10">
        <v>2438</v>
      </c>
      <c r="AC5" s="10">
        <v>2438</v>
      </c>
      <c r="AD5" s="10">
        <v>2438</v>
      </c>
      <c r="AE5" s="10">
        <v>2438</v>
      </c>
      <c r="AF5" s="10">
        <v>2438</v>
      </c>
      <c r="AG5" s="10">
        <v>2438</v>
      </c>
      <c r="AH5" s="10">
        <v>2438</v>
      </c>
      <c r="AI5" s="10">
        <v>2438</v>
      </c>
      <c r="AJ5" s="10">
        <v>2438</v>
      </c>
      <c r="AK5" s="10">
        <v>2438</v>
      </c>
      <c r="AL5" s="10">
        <v>2438</v>
      </c>
      <c r="AM5" s="10">
        <v>2438</v>
      </c>
      <c r="AN5" s="10">
        <v>2438</v>
      </c>
      <c r="AO5" s="10">
        <v>2438</v>
      </c>
      <c r="AP5" s="10">
        <v>2438</v>
      </c>
      <c r="AQ5" s="10">
        <v>2438</v>
      </c>
      <c r="AR5" s="10">
        <v>2438</v>
      </c>
      <c r="AS5" s="10">
        <v>2438</v>
      </c>
      <c r="AT5" s="10">
        <v>1696</v>
      </c>
      <c r="AU5" s="10">
        <v>1696</v>
      </c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</row>
    <row r="6" spans="1:70" ht="13.5" thickBot="1" x14ac:dyDescent="0.45">
      <c r="A6" s="2">
        <v>60</v>
      </c>
      <c r="B6" s="2">
        <v>62</v>
      </c>
      <c r="C6" s="2">
        <v>100000</v>
      </c>
      <c r="D6" s="2">
        <v>1696</v>
      </c>
      <c r="G6" s="41" t="s">
        <v>813</v>
      </c>
      <c r="H6" s="42"/>
      <c r="I6" s="42"/>
      <c r="J6" s="42"/>
      <c r="K6" s="43"/>
      <c r="N6" s="10">
        <f t="shared" si="0"/>
        <v>814503.99999999977</v>
      </c>
      <c r="O6">
        <v>62</v>
      </c>
      <c r="P6">
        <v>66</v>
      </c>
      <c r="Q6" t="b">
        <v>1</v>
      </c>
      <c r="R6" t="b">
        <v>1</v>
      </c>
      <c r="S6" s="10">
        <v>1696</v>
      </c>
      <c r="T6" s="10">
        <v>1696</v>
      </c>
      <c r="U6" s="10">
        <v>1696</v>
      </c>
      <c r="V6" s="10">
        <v>1696</v>
      </c>
      <c r="W6" s="10">
        <v>2508.666666666667</v>
      </c>
      <c r="X6" s="10">
        <v>2508.666666666667</v>
      </c>
      <c r="Y6" s="10">
        <v>2508.666666666667</v>
      </c>
      <c r="Z6" s="10">
        <v>2508.666666666667</v>
      </c>
      <c r="AA6" s="10">
        <v>2508.666666666667</v>
      </c>
      <c r="AB6" s="10">
        <v>2508.666666666667</v>
      </c>
      <c r="AC6" s="10">
        <v>2508.666666666667</v>
      </c>
      <c r="AD6" s="10">
        <v>2508.666666666667</v>
      </c>
      <c r="AE6" s="10">
        <v>2508.666666666667</v>
      </c>
      <c r="AF6" s="10">
        <v>2508.666666666667</v>
      </c>
      <c r="AG6" s="10">
        <v>2508.666666666667</v>
      </c>
      <c r="AH6" s="10">
        <v>2508.666666666667</v>
      </c>
      <c r="AI6" s="10">
        <v>2508.666666666667</v>
      </c>
      <c r="AJ6" s="10">
        <v>2508.666666666667</v>
      </c>
      <c r="AK6" s="10">
        <v>2508.666666666667</v>
      </c>
      <c r="AL6" s="10">
        <v>2508.666666666667</v>
      </c>
      <c r="AM6" s="10">
        <v>2508.666666666667</v>
      </c>
      <c r="AN6" s="10">
        <v>2508.666666666667</v>
      </c>
      <c r="AO6" s="10">
        <v>2508.666666666667</v>
      </c>
      <c r="AP6" s="10">
        <v>2508.666666666667</v>
      </c>
      <c r="AQ6" s="10">
        <v>2508.666666666667</v>
      </c>
      <c r="AR6" s="10">
        <v>2508.666666666667</v>
      </c>
      <c r="AS6" s="10">
        <v>2508.666666666667</v>
      </c>
      <c r="AT6" s="10">
        <v>1696</v>
      </c>
      <c r="AU6" s="10">
        <v>1696</v>
      </c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</row>
    <row r="7" spans="1:70" x14ac:dyDescent="0.35">
      <c r="A7" s="2">
        <v>60</v>
      </c>
      <c r="B7" s="2">
        <v>62</v>
      </c>
      <c r="C7" s="2">
        <v>120000</v>
      </c>
      <c r="D7" s="2">
        <v>1824</v>
      </c>
      <c r="G7" s="23" t="s">
        <v>805</v>
      </c>
      <c r="H7" s="24" t="s">
        <v>806</v>
      </c>
      <c r="I7" s="24" t="str">
        <f>IF(J8="TRUE","Switch Age","Spouse Age")</f>
        <v>Spouse Age</v>
      </c>
      <c r="J7" s="24" t="s">
        <v>807</v>
      </c>
      <c r="K7" s="25" t="s">
        <v>808</v>
      </c>
      <c r="N7" s="10">
        <f t="shared" si="0"/>
        <v>814080</v>
      </c>
      <c r="O7">
        <v>62</v>
      </c>
      <c r="P7">
        <v>67</v>
      </c>
      <c r="Q7" t="b">
        <v>1</v>
      </c>
      <c r="R7" t="b">
        <v>1</v>
      </c>
      <c r="S7" s="10">
        <v>1696</v>
      </c>
      <c r="T7" s="10">
        <v>1696</v>
      </c>
      <c r="U7" s="10">
        <v>1696</v>
      </c>
      <c r="V7" s="10">
        <v>1696</v>
      </c>
      <c r="W7" s="10">
        <v>1696</v>
      </c>
      <c r="X7" s="10">
        <v>2544</v>
      </c>
      <c r="Y7" s="10">
        <v>2544</v>
      </c>
      <c r="Z7" s="10">
        <v>2544</v>
      </c>
      <c r="AA7" s="10">
        <v>2544</v>
      </c>
      <c r="AB7" s="10">
        <v>2544</v>
      </c>
      <c r="AC7" s="10">
        <v>2544</v>
      </c>
      <c r="AD7" s="10">
        <v>2544</v>
      </c>
      <c r="AE7" s="10">
        <v>2544</v>
      </c>
      <c r="AF7" s="10">
        <v>2544</v>
      </c>
      <c r="AG7" s="10">
        <v>2544</v>
      </c>
      <c r="AH7" s="10">
        <v>2544</v>
      </c>
      <c r="AI7" s="10">
        <v>2544</v>
      </c>
      <c r="AJ7" s="10">
        <v>2544</v>
      </c>
      <c r="AK7" s="10">
        <v>2544</v>
      </c>
      <c r="AL7" s="10">
        <v>2544</v>
      </c>
      <c r="AM7" s="10">
        <v>2544</v>
      </c>
      <c r="AN7" s="10">
        <v>2544</v>
      </c>
      <c r="AO7" s="10">
        <v>2544</v>
      </c>
      <c r="AP7" s="10">
        <v>2544</v>
      </c>
      <c r="AQ7" s="10">
        <v>2544</v>
      </c>
      <c r="AR7" s="10">
        <v>2544</v>
      </c>
      <c r="AS7" s="10">
        <v>2544</v>
      </c>
      <c r="AT7" s="10">
        <v>1696</v>
      </c>
      <c r="AU7" s="10">
        <v>1696</v>
      </c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</row>
    <row r="8" spans="1:70" ht="13.15" thickBot="1" x14ac:dyDescent="0.4">
      <c r="A8" s="2">
        <v>60</v>
      </c>
      <c r="B8" s="2">
        <v>62</v>
      </c>
      <c r="C8" s="2">
        <v>127200</v>
      </c>
      <c r="D8" s="2">
        <v>1871</v>
      </c>
      <c r="G8" s="26">
        <f>MAX(N2:N82)</f>
        <v>1147776</v>
      </c>
      <c r="H8" s="27">
        <f>VLOOKUP($G$8,$N$2:$R$100,2,FALSE)</f>
        <v>70</v>
      </c>
      <c r="I8" s="27">
        <f>VLOOKUP($G$8,$N$2:$R$100,3,FALSE)</f>
        <v>67</v>
      </c>
      <c r="J8" s="27" t="b">
        <f>VLOOKUP($G$8,$N$2:$R$100,4,FALSE)</f>
        <v>1</v>
      </c>
      <c r="K8" s="28" t="b">
        <f>VLOOKUP($G$8,$N$2:$R$100,5,FALSE)</f>
        <v>1</v>
      </c>
      <c r="M8" s="10"/>
      <c r="N8" s="10">
        <f t="shared" si="0"/>
        <v>803904</v>
      </c>
      <c r="O8">
        <v>62</v>
      </c>
      <c r="P8">
        <v>68</v>
      </c>
      <c r="Q8" t="b">
        <v>1</v>
      </c>
      <c r="R8" t="b">
        <v>1</v>
      </c>
      <c r="S8" s="10">
        <v>1696</v>
      </c>
      <c r="T8" s="10">
        <v>1696</v>
      </c>
      <c r="U8" s="10">
        <v>1696</v>
      </c>
      <c r="V8" s="10">
        <v>1696</v>
      </c>
      <c r="W8" s="10">
        <v>1696</v>
      </c>
      <c r="X8" s="10">
        <v>1696</v>
      </c>
      <c r="Y8" s="10">
        <v>2544</v>
      </c>
      <c r="Z8" s="10">
        <v>2544</v>
      </c>
      <c r="AA8" s="10">
        <v>2544</v>
      </c>
      <c r="AB8" s="10">
        <v>2544</v>
      </c>
      <c r="AC8" s="10">
        <v>2544</v>
      </c>
      <c r="AD8" s="10">
        <v>2544</v>
      </c>
      <c r="AE8" s="10">
        <v>2544</v>
      </c>
      <c r="AF8" s="10">
        <v>2544</v>
      </c>
      <c r="AG8" s="10">
        <v>2544</v>
      </c>
      <c r="AH8" s="10">
        <v>2544</v>
      </c>
      <c r="AI8" s="10">
        <v>2544</v>
      </c>
      <c r="AJ8" s="10">
        <v>2544</v>
      </c>
      <c r="AK8" s="10">
        <v>2544</v>
      </c>
      <c r="AL8" s="10">
        <v>2544</v>
      </c>
      <c r="AM8" s="10">
        <v>2544</v>
      </c>
      <c r="AN8" s="10">
        <v>2544</v>
      </c>
      <c r="AO8" s="10">
        <v>2544</v>
      </c>
      <c r="AP8" s="10">
        <v>2544</v>
      </c>
      <c r="AQ8" s="10">
        <v>2544</v>
      </c>
      <c r="AR8" s="10">
        <v>2544</v>
      </c>
      <c r="AS8" s="10">
        <v>2544</v>
      </c>
      <c r="AT8" s="10">
        <v>1696</v>
      </c>
      <c r="AU8" s="10">
        <v>1696</v>
      </c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</row>
    <row r="9" spans="1:70" x14ac:dyDescent="0.35">
      <c r="A9">
        <v>60</v>
      </c>
      <c r="B9">
        <v>65</v>
      </c>
      <c r="C9">
        <v>0</v>
      </c>
      <c r="D9">
        <v>0</v>
      </c>
      <c r="M9" s="10"/>
      <c r="N9" s="10">
        <f t="shared" si="0"/>
        <v>793728</v>
      </c>
      <c r="O9">
        <v>62</v>
      </c>
      <c r="P9">
        <v>69</v>
      </c>
      <c r="Q9" t="b">
        <v>1</v>
      </c>
      <c r="R9" t="b">
        <v>1</v>
      </c>
      <c r="S9" s="10">
        <v>1696</v>
      </c>
      <c r="T9" s="10">
        <v>1696</v>
      </c>
      <c r="U9" s="10">
        <v>1696</v>
      </c>
      <c r="V9" s="10">
        <v>1696</v>
      </c>
      <c r="W9" s="10">
        <v>1696</v>
      </c>
      <c r="X9" s="10">
        <v>1696</v>
      </c>
      <c r="Y9" s="10">
        <v>1696</v>
      </c>
      <c r="Z9" s="10">
        <v>2544</v>
      </c>
      <c r="AA9" s="10">
        <v>2544</v>
      </c>
      <c r="AB9" s="10">
        <v>2544</v>
      </c>
      <c r="AC9" s="10">
        <v>2544</v>
      </c>
      <c r="AD9" s="10">
        <v>2544</v>
      </c>
      <c r="AE9" s="10">
        <v>2544</v>
      </c>
      <c r="AF9" s="10">
        <v>2544</v>
      </c>
      <c r="AG9" s="10">
        <v>2544</v>
      </c>
      <c r="AH9" s="10">
        <v>2544</v>
      </c>
      <c r="AI9" s="10">
        <v>2544</v>
      </c>
      <c r="AJ9" s="10">
        <v>2544</v>
      </c>
      <c r="AK9" s="10">
        <v>2544</v>
      </c>
      <c r="AL9" s="10">
        <v>2544</v>
      </c>
      <c r="AM9" s="10">
        <v>2544</v>
      </c>
      <c r="AN9" s="10">
        <v>2544</v>
      </c>
      <c r="AO9" s="10">
        <v>2544</v>
      </c>
      <c r="AP9" s="10">
        <v>2544</v>
      </c>
      <c r="AQ9" s="10">
        <v>2544</v>
      </c>
      <c r="AR9" s="10">
        <v>2544</v>
      </c>
      <c r="AS9" s="10">
        <v>2544</v>
      </c>
      <c r="AT9" s="10">
        <v>1696</v>
      </c>
      <c r="AU9" s="10">
        <v>1696</v>
      </c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</row>
    <row r="10" spans="1:70" x14ac:dyDescent="0.35">
      <c r="A10" s="2">
        <v>60</v>
      </c>
      <c r="B10" s="2">
        <v>65</v>
      </c>
      <c r="C10" s="2">
        <v>20000</v>
      </c>
      <c r="D10" s="2">
        <v>830</v>
      </c>
      <c r="N10" s="10">
        <f t="shared" si="0"/>
        <v>783552</v>
      </c>
      <c r="O10">
        <v>62</v>
      </c>
      <c r="P10">
        <v>70</v>
      </c>
      <c r="Q10" t="b">
        <v>1</v>
      </c>
      <c r="R10" t="b">
        <v>1</v>
      </c>
      <c r="S10" s="10">
        <v>1696</v>
      </c>
      <c r="T10" s="10">
        <v>1696</v>
      </c>
      <c r="U10" s="10">
        <v>1696</v>
      </c>
      <c r="V10" s="10">
        <v>1696</v>
      </c>
      <c r="W10" s="10">
        <v>1696</v>
      </c>
      <c r="X10" s="10">
        <v>1696</v>
      </c>
      <c r="Y10" s="10">
        <v>1696</v>
      </c>
      <c r="Z10" s="10">
        <v>1696</v>
      </c>
      <c r="AA10" s="10">
        <v>2544</v>
      </c>
      <c r="AB10" s="10">
        <v>2544</v>
      </c>
      <c r="AC10" s="10">
        <v>2544</v>
      </c>
      <c r="AD10" s="10">
        <v>2544</v>
      </c>
      <c r="AE10" s="10">
        <v>2544</v>
      </c>
      <c r="AF10" s="10">
        <v>2544</v>
      </c>
      <c r="AG10" s="10">
        <v>2544</v>
      </c>
      <c r="AH10" s="10">
        <v>2544</v>
      </c>
      <c r="AI10" s="10">
        <v>2544</v>
      </c>
      <c r="AJ10" s="10">
        <v>2544</v>
      </c>
      <c r="AK10" s="10">
        <v>2544</v>
      </c>
      <c r="AL10" s="10">
        <v>2544</v>
      </c>
      <c r="AM10" s="10">
        <v>2544</v>
      </c>
      <c r="AN10" s="10">
        <v>2544</v>
      </c>
      <c r="AO10" s="10">
        <v>2544</v>
      </c>
      <c r="AP10" s="10">
        <v>2544</v>
      </c>
      <c r="AQ10" s="10">
        <v>2544</v>
      </c>
      <c r="AR10" s="10">
        <v>2544</v>
      </c>
      <c r="AS10" s="10">
        <v>2544</v>
      </c>
      <c r="AT10" s="10">
        <v>1696</v>
      </c>
      <c r="AU10" s="10">
        <v>1696</v>
      </c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</row>
    <row r="11" spans="1:70" x14ac:dyDescent="0.35">
      <c r="A11" s="2">
        <v>60</v>
      </c>
      <c r="B11" s="2">
        <v>65</v>
      </c>
      <c r="C11" s="2">
        <v>40000</v>
      </c>
      <c r="D11" s="2">
        <v>1198</v>
      </c>
      <c r="N11" s="10">
        <f t="shared" si="0"/>
        <v>780470.60000000044</v>
      </c>
      <c r="O11">
        <v>63</v>
      </c>
      <c r="P11">
        <v>62</v>
      </c>
      <c r="Q11" t="b">
        <v>1</v>
      </c>
      <c r="R11" t="b">
        <v>1</v>
      </c>
      <c r="S11" s="10">
        <v>0</v>
      </c>
      <c r="T11" s="10">
        <v>2359.1750000000002</v>
      </c>
      <c r="U11" s="10">
        <v>2359.1750000000002</v>
      </c>
      <c r="V11" s="10">
        <v>2359.1750000000002</v>
      </c>
      <c r="W11" s="10">
        <v>2359.1750000000002</v>
      </c>
      <c r="X11" s="10">
        <v>2359.1750000000002</v>
      </c>
      <c r="Y11" s="10">
        <v>2359.1750000000002</v>
      </c>
      <c r="Z11" s="10">
        <v>2359.1750000000002</v>
      </c>
      <c r="AA11" s="10">
        <v>2359.1750000000002</v>
      </c>
      <c r="AB11" s="10">
        <v>2359.1750000000002</v>
      </c>
      <c r="AC11" s="10">
        <v>2359.1750000000002</v>
      </c>
      <c r="AD11" s="10">
        <v>2359.1750000000002</v>
      </c>
      <c r="AE11" s="10">
        <v>2359.1750000000002</v>
      </c>
      <c r="AF11" s="10">
        <v>2359.1750000000002</v>
      </c>
      <c r="AG11" s="10">
        <v>2359.1750000000002</v>
      </c>
      <c r="AH11" s="10">
        <v>2359.1750000000002</v>
      </c>
      <c r="AI11" s="10">
        <v>2359.1750000000002</v>
      </c>
      <c r="AJ11" s="10">
        <v>2359.1750000000002</v>
      </c>
      <c r="AK11" s="10">
        <v>2359.1750000000002</v>
      </c>
      <c r="AL11" s="10">
        <v>2359.1750000000002</v>
      </c>
      <c r="AM11" s="10">
        <v>2359.1750000000002</v>
      </c>
      <c r="AN11" s="10">
        <v>2359.1750000000002</v>
      </c>
      <c r="AO11" s="10">
        <v>2359.1750000000002</v>
      </c>
      <c r="AP11" s="10">
        <v>2359.1750000000002</v>
      </c>
      <c r="AQ11" s="10">
        <v>2359.1750000000002</v>
      </c>
      <c r="AR11" s="10">
        <v>2359.1750000000002</v>
      </c>
      <c r="AS11" s="10">
        <v>2359.1750000000002</v>
      </c>
      <c r="AT11" s="10">
        <v>1850.3333333333333</v>
      </c>
      <c r="AU11" s="10">
        <v>1850.3333333333333</v>
      </c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</row>
    <row r="12" spans="1:70" x14ac:dyDescent="0.35">
      <c r="A12" s="2">
        <v>60</v>
      </c>
      <c r="B12" s="2">
        <v>65</v>
      </c>
      <c r="C12" s="2">
        <v>60000</v>
      </c>
      <c r="D12" s="2">
        <v>1561</v>
      </c>
      <c r="N12" s="10">
        <f t="shared" si="0"/>
        <v>818957.53333333298</v>
      </c>
      <c r="O12">
        <v>63</v>
      </c>
      <c r="P12">
        <v>63</v>
      </c>
      <c r="Q12" t="b">
        <v>1</v>
      </c>
      <c r="R12" t="b">
        <v>1</v>
      </c>
      <c r="S12" s="10">
        <v>0</v>
      </c>
      <c r="T12" s="10">
        <v>2482.5305555555556</v>
      </c>
      <c r="U12" s="10">
        <v>2482.5305555555556</v>
      </c>
      <c r="V12" s="10">
        <v>2482.5305555555556</v>
      </c>
      <c r="W12" s="10">
        <v>2482.5305555555556</v>
      </c>
      <c r="X12" s="10">
        <v>2482.5305555555556</v>
      </c>
      <c r="Y12" s="10">
        <v>2482.5305555555556</v>
      </c>
      <c r="Z12" s="10">
        <v>2482.5305555555556</v>
      </c>
      <c r="AA12" s="10">
        <v>2482.5305555555556</v>
      </c>
      <c r="AB12" s="10">
        <v>2482.5305555555556</v>
      </c>
      <c r="AC12" s="10">
        <v>2482.5305555555556</v>
      </c>
      <c r="AD12" s="10">
        <v>2482.5305555555556</v>
      </c>
      <c r="AE12" s="10">
        <v>2482.5305555555556</v>
      </c>
      <c r="AF12" s="10">
        <v>2482.5305555555556</v>
      </c>
      <c r="AG12" s="10">
        <v>2482.5305555555556</v>
      </c>
      <c r="AH12" s="10">
        <v>2482.5305555555556</v>
      </c>
      <c r="AI12" s="10">
        <v>2482.5305555555556</v>
      </c>
      <c r="AJ12" s="10">
        <v>2482.5305555555556</v>
      </c>
      <c r="AK12" s="10">
        <v>2482.5305555555556</v>
      </c>
      <c r="AL12" s="10">
        <v>2482.5305555555556</v>
      </c>
      <c r="AM12" s="10">
        <v>2482.5305555555556</v>
      </c>
      <c r="AN12" s="10">
        <v>2482.5305555555556</v>
      </c>
      <c r="AO12" s="10">
        <v>2482.5305555555556</v>
      </c>
      <c r="AP12" s="10">
        <v>2482.5305555555556</v>
      </c>
      <c r="AQ12" s="10">
        <v>2482.5305555555556</v>
      </c>
      <c r="AR12" s="10">
        <v>2482.5305555555556</v>
      </c>
      <c r="AS12" s="10">
        <v>2482.5305555555556</v>
      </c>
      <c r="AT12" s="10">
        <v>1850.3333333333333</v>
      </c>
      <c r="AU12" s="10">
        <v>1850.3333333333333</v>
      </c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</row>
    <row r="13" spans="1:70" ht="13.15" thickBot="1" x14ac:dyDescent="0.4">
      <c r="A13" s="2">
        <v>60</v>
      </c>
      <c r="B13" s="2">
        <v>65</v>
      </c>
      <c r="C13" s="2">
        <v>80000</v>
      </c>
      <c r="D13" s="2">
        <v>1923</v>
      </c>
      <c r="N13" s="10">
        <f t="shared" si="0"/>
        <v>841439.08333333326</v>
      </c>
      <c r="O13">
        <v>63</v>
      </c>
      <c r="P13">
        <v>64</v>
      </c>
      <c r="Q13" t="b">
        <v>1</v>
      </c>
      <c r="R13" t="b">
        <v>1</v>
      </c>
      <c r="S13" s="10">
        <v>0</v>
      </c>
      <c r="T13" s="10">
        <v>1850.3333333333333</v>
      </c>
      <c r="U13" s="10">
        <v>2582.7569444444443</v>
      </c>
      <c r="V13" s="10">
        <v>2582.7569444444443</v>
      </c>
      <c r="W13" s="10">
        <v>2582.7569444444443</v>
      </c>
      <c r="X13" s="10">
        <v>2582.7569444444443</v>
      </c>
      <c r="Y13" s="10">
        <v>2582.7569444444443</v>
      </c>
      <c r="Z13" s="10">
        <v>2582.7569444444443</v>
      </c>
      <c r="AA13" s="10">
        <v>2582.7569444444443</v>
      </c>
      <c r="AB13" s="10">
        <v>2582.7569444444443</v>
      </c>
      <c r="AC13" s="10">
        <v>2582.7569444444443</v>
      </c>
      <c r="AD13" s="10">
        <v>2582.7569444444443</v>
      </c>
      <c r="AE13" s="10">
        <v>2582.7569444444443</v>
      </c>
      <c r="AF13" s="10">
        <v>2582.7569444444443</v>
      </c>
      <c r="AG13" s="10">
        <v>2582.7569444444443</v>
      </c>
      <c r="AH13" s="10">
        <v>2582.7569444444443</v>
      </c>
      <c r="AI13" s="10">
        <v>2582.7569444444443</v>
      </c>
      <c r="AJ13" s="10">
        <v>2582.7569444444443</v>
      </c>
      <c r="AK13" s="10">
        <v>2582.7569444444443</v>
      </c>
      <c r="AL13" s="10">
        <v>2582.7569444444443</v>
      </c>
      <c r="AM13" s="10">
        <v>2582.7569444444443</v>
      </c>
      <c r="AN13" s="10">
        <v>2582.7569444444443</v>
      </c>
      <c r="AO13" s="10">
        <v>2582.7569444444443</v>
      </c>
      <c r="AP13" s="10">
        <v>2582.7569444444443</v>
      </c>
      <c r="AQ13" s="10">
        <v>2582.7569444444443</v>
      </c>
      <c r="AR13" s="10">
        <v>2582.7569444444443</v>
      </c>
      <c r="AS13" s="10">
        <v>2582.7569444444443</v>
      </c>
      <c r="AT13" s="10">
        <v>1850.3333333333333</v>
      </c>
      <c r="AU13" s="10">
        <v>1850.3333333333333</v>
      </c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</row>
    <row r="14" spans="1:70" x14ac:dyDescent="0.35">
      <c r="A14" s="2">
        <v>60</v>
      </c>
      <c r="B14" s="2">
        <v>65</v>
      </c>
      <c r="C14" s="2">
        <v>100000</v>
      </c>
      <c r="D14" s="2">
        <v>2159</v>
      </c>
      <c r="G14" s="32" t="s">
        <v>796</v>
      </c>
      <c r="H14" s="33">
        <v>67</v>
      </c>
      <c r="I14" s="34">
        <v>67</v>
      </c>
      <c r="N14" s="10">
        <f t="shared" si="0"/>
        <v>854853.99999999953</v>
      </c>
      <c r="O14">
        <v>63</v>
      </c>
      <c r="P14">
        <v>65</v>
      </c>
      <c r="Q14" t="b">
        <v>1</v>
      </c>
      <c r="R14" t="b">
        <v>1</v>
      </c>
      <c r="S14" s="10">
        <v>0</v>
      </c>
      <c r="T14" s="10">
        <v>1850.3333333333333</v>
      </c>
      <c r="U14" s="10">
        <v>1850.3333333333333</v>
      </c>
      <c r="V14" s="10">
        <v>2659.8541666666665</v>
      </c>
      <c r="W14" s="10">
        <v>2659.8541666666665</v>
      </c>
      <c r="X14" s="10">
        <v>2659.8541666666665</v>
      </c>
      <c r="Y14" s="10">
        <v>2659.8541666666665</v>
      </c>
      <c r="Z14" s="10">
        <v>2659.8541666666665</v>
      </c>
      <c r="AA14" s="10">
        <v>2659.8541666666665</v>
      </c>
      <c r="AB14" s="10">
        <v>2659.8541666666665</v>
      </c>
      <c r="AC14" s="10">
        <v>2659.8541666666665</v>
      </c>
      <c r="AD14" s="10">
        <v>2659.8541666666665</v>
      </c>
      <c r="AE14" s="10">
        <v>2659.8541666666665</v>
      </c>
      <c r="AF14" s="10">
        <v>2659.8541666666665</v>
      </c>
      <c r="AG14" s="10">
        <v>2659.8541666666665</v>
      </c>
      <c r="AH14" s="10">
        <v>2659.8541666666665</v>
      </c>
      <c r="AI14" s="10">
        <v>2659.8541666666665</v>
      </c>
      <c r="AJ14" s="10">
        <v>2659.8541666666665</v>
      </c>
      <c r="AK14" s="10">
        <v>2659.8541666666665</v>
      </c>
      <c r="AL14" s="10">
        <v>2659.8541666666665</v>
      </c>
      <c r="AM14" s="10">
        <v>2659.8541666666665</v>
      </c>
      <c r="AN14" s="10">
        <v>2659.8541666666665</v>
      </c>
      <c r="AO14" s="10">
        <v>2659.8541666666665</v>
      </c>
      <c r="AP14" s="10">
        <v>2659.8541666666665</v>
      </c>
      <c r="AQ14" s="10">
        <v>2659.8541666666665</v>
      </c>
      <c r="AR14" s="10">
        <v>2659.8541666666665</v>
      </c>
      <c r="AS14" s="10">
        <v>2659.8541666666665</v>
      </c>
      <c r="AT14" s="10">
        <v>1850.3333333333333</v>
      </c>
      <c r="AU14" s="10">
        <v>1850.3333333333333</v>
      </c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</row>
    <row r="15" spans="1:70" x14ac:dyDescent="0.35">
      <c r="A15" s="2">
        <v>60</v>
      </c>
      <c r="B15" s="2">
        <v>65</v>
      </c>
      <c r="C15" s="2">
        <v>120000</v>
      </c>
      <c r="D15" s="2">
        <v>2329</v>
      </c>
      <c r="G15" s="35" t="s">
        <v>797</v>
      </c>
      <c r="H15" s="30">
        <f>CalculateSS(A1:D32,H14,H3)</f>
        <v>2534</v>
      </c>
      <c r="I15" s="36"/>
      <c r="N15" s="10">
        <f t="shared" si="0"/>
        <v>866418.58333333349</v>
      </c>
      <c r="O15">
        <v>63</v>
      </c>
      <c r="P15">
        <v>66</v>
      </c>
      <c r="Q15" t="b">
        <v>1</v>
      </c>
      <c r="R15" t="b">
        <v>1</v>
      </c>
      <c r="S15" s="10">
        <v>0</v>
      </c>
      <c r="T15" s="10">
        <v>1850.3333333333333</v>
      </c>
      <c r="U15" s="10">
        <v>1850.3333333333333</v>
      </c>
      <c r="V15" s="10">
        <v>1850.3333333333333</v>
      </c>
      <c r="W15" s="10">
        <v>2736.9513888888887</v>
      </c>
      <c r="X15" s="10">
        <v>2736.9513888888887</v>
      </c>
      <c r="Y15" s="10">
        <v>2736.9513888888887</v>
      </c>
      <c r="Z15" s="10">
        <v>2736.9513888888887</v>
      </c>
      <c r="AA15" s="10">
        <v>2736.9513888888887</v>
      </c>
      <c r="AB15" s="10">
        <v>2736.9513888888887</v>
      </c>
      <c r="AC15" s="10">
        <v>2736.9513888888887</v>
      </c>
      <c r="AD15" s="10">
        <v>2736.9513888888887</v>
      </c>
      <c r="AE15" s="10">
        <v>2736.9513888888887</v>
      </c>
      <c r="AF15" s="10">
        <v>2736.9513888888887</v>
      </c>
      <c r="AG15" s="10">
        <v>2736.9513888888887</v>
      </c>
      <c r="AH15" s="10">
        <v>2736.9513888888887</v>
      </c>
      <c r="AI15" s="10">
        <v>2736.9513888888887</v>
      </c>
      <c r="AJ15" s="10">
        <v>2736.9513888888887</v>
      </c>
      <c r="AK15" s="10">
        <v>2736.9513888888887</v>
      </c>
      <c r="AL15" s="10">
        <v>2736.9513888888887</v>
      </c>
      <c r="AM15" s="10">
        <v>2736.9513888888887</v>
      </c>
      <c r="AN15" s="10">
        <v>2736.9513888888887</v>
      </c>
      <c r="AO15" s="10">
        <v>2736.9513888888887</v>
      </c>
      <c r="AP15" s="10">
        <v>2736.9513888888887</v>
      </c>
      <c r="AQ15" s="10">
        <v>2736.9513888888887</v>
      </c>
      <c r="AR15" s="10">
        <v>2736.9513888888887</v>
      </c>
      <c r="AS15" s="10">
        <v>2736.9513888888887</v>
      </c>
      <c r="AT15" s="10">
        <v>1850.3333333333333</v>
      </c>
      <c r="AU15" s="10">
        <v>1850.3333333333333</v>
      </c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</row>
    <row r="16" spans="1:70" x14ac:dyDescent="0.35">
      <c r="A16" s="2">
        <v>60</v>
      </c>
      <c r="B16" s="2">
        <v>65</v>
      </c>
      <c r="C16" s="2">
        <v>127200</v>
      </c>
      <c r="D16" s="2">
        <v>2390</v>
      </c>
      <c r="G16" s="35" t="s">
        <v>798</v>
      </c>
      <c r="H16" s="31">
        <f>(H4-H14)*(H15*12)</f>
        <v>638568</v>
      </c>
      <c r="I16" s="36"/>
      <c r="N16" s="10">
        <f t="shared" si="0"/>
        <v>865955.99999999977</v>
      </c>
      <c r="O16">
        <v>63</v>
      </c>
      <c r="P16">
        <v>67</v>
      </c>
      <c r="Q16" t="b">
        <v>1</v>
      </c>
      <c r="R16" t="b">
        <v>1</v>
      </c>
      <c r="S16" s="10">
        <v>0</v>
      </c>
      <c r="T16" s="10">
        <v>1850.3333333333333</v>
      </c>
      <c r="U16" s="10">
        <v>1850.3333333333333</v>
      </c>
      <c r="V16" s="10">
        <v>1850.3333333333333</v>
      </c>
      <c r="W16" s="10">
        <v>1850.3333333333333</v>
      </c>
      <c r="X16" s="10">
        <v>2775.5</v>
      </c>
      <c r="Y16" s="10">
        <v>2775.5</v>
      </c>
      <c r="Z16" s="10">
        <v>2775.5</v>
      </c>
      <c r="AA16" s="10">
        <v>2775.5</v>
      </c>
      <c r="AB16" s="10">
        <v>2775.5</v>
      </c>
      <c r="AC16" s="10">
        <v>2775.5</v>
      </c>
      <c r="AD16" s="10">
        <v>2775.5</v>
      </c>
      <c r="AE16" s="10">
        <v>2775.5</v>
      </c>
      <c r="AF16" s="10">
        <v>2775.5</v>
      </c>
      <c r="AG16" s="10">
        <v>2775.5</v>
      </c>
      <c r="AH16" s="10">
        <v>2775.5</v>
      </c>
      <c r="AI16" s="10">
        <v>2775.5</v>
      </c>
      <c r="AJ16" s="10">
        <v>2775.5</v>
      </c>
      <c r="AK16" s="10">
        <v>2775.5</v>
      </c>
      <c r="AL16" s="10">
        <v>2775.5</v>
      </c>
      <c r="AM16" s="10">
        <v>2775.5</v>
      </c>
      <c r="AN16" s="10">
        <v>2775.5</v>
      </c>
      <c r="AO16" s="10">
        <v>2775.5</v>
      </c>
      <c r="AP16" s="10">
        <v>2775.5</v>
      </c>
      <c r="AQ16" s="10">
        <v>2775.5</v>
      </c>
      <c r="AR16" s="10">
        <v>2775.5</v>
      </c>
      <c r="AS16" s="10">
        <v>2775.5</v>
      </c>
      <c r="AT16" s="10">
        <v>1850.3333333333333</v>
      </c>
      <c r="AU16" s="10">
        <v>1850.3333333333333</v>
      </c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</row>
    <row r="17" spans="1:70" x14ac:dyDescent="0.35">
      <c r="A17">
        <v>60</v>
      </c>
      <c r="B17">
        <v>67</v>
      </c>
      <c r="C17">
        <v>0</v>
      </c>
      <c r="D17">
        <v>0</v>
      </c>
      <c r="G17" s="35" t="s">
        <v>799</v>
      </c>
      <c r="H17" s="29"/>
      <c r="I17" s="36"/>
      <c r="N17" s="10">
        <f t="shared" si="0"/>
        <v>854853.99999999977</v>
      </c>
      <c r="O17">
        <v>63</v>
      </c>
      <c r="P17">
        <v>68</v>
      </c>
      <c r="Q17" t="b">
        <v>1</v>
      </c>
      <c r="R17" t="b">
        <v>1</v>
      </c>
      <c r="S17" s="10">
        <v>0</v>
      </c>
      <c r="T17" s="10">
        <v>1850.3333333333333</v>
      </c>
      <c r="U17" s="10">
        <v>1850.3333333333333</v>
      </c>
      <c r="V17" s="10">
        <v>1850.3333333333333</v>
      </c>
      <c r="W17" s="10">
        <v>1850.3333333333333</v>
      </c>
      <c r="X17" s="10">
        <v>1850.3333333333333</v>
      </c>
      <c r="Y17" s="10">
        <v>2775.5</v>
      </c>
      <c r="Z17" s="10">
        <v>2775.5</v>
      </c>
      <c r="AA17" s="10">
        <v>2775.5</v>
      </c>
      <c r="AB17" s="10">
        <v>2775.5</v>
      </c>
      <c r="AC17" s="10">
        <v>2775.5</v>
      </c>
      <c r="AD17" s="10">
        <v>2775.5</v>
      </c>
      <c r="AE17" s="10">
        <v>2775.5</v>
      </c>
      <c r="AF17" s="10">
        <v>2775.5</v>
      </c>
      <c r="AG17" s="10">
        <v>2775.5</v>
      </c>
      <c r="AH17" s="10">
        <v>2775.5</v>
      </c>
      <c r="AI17" s="10">
        <v>2775.5</v>
      </c>
      <c r="AJ17" s="10">
        <v>2775.5</v>
      </c>
      <c r="AK17" s="10">
        <v>2775.5</v>
      </c>
      <c r="AL17" s="10">
        <v>2775.5</v>
      </c>
      <c r="AM17" s="10">
        <v>2775.5</v>
      </c>
      <c r="AN17" s="10">
        <v>2775.5</v>
      </c>
      <c r="AO17" s="10">
        <v>2775.5</v>
      </c>
      <c r="AP17" s="10">
        <v>2775.5</v>
      </c>
      <c r="AQ17" s="10">
        <v>2775.5</v>
      </c>
      <c r="AR17" s="10">
        <v>2775.5</v>
      </c>
      <c r="AS17" s="10">
        <v>2775.5</v>
      </c>
      <c r="AT17" s="10">
        <v>1850.3333333333333</v>
      </c>
      <c r="AU17" s="10">
        <v>1850.3333333333333</v>
      </c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</row>
    <row r="18" spans="1:70" x14ac:dyDescent="0.35">
      <c r="A18" s="2">
        <v>60</v>
      </c>
      <c r="B18" s="2">
        <v>67</v>
      </c>
      <c r="C18" s="2">
        <v>20000</v>
      </c>
      <c r="D18" s="2">
        <v>976</v>
      </c>
      <c r="G18" s="35" t="s">
        <v>804</v>
      </c>
      <c r="H18" s="29">
        <v>67</v>
      </c>
      <c r="I18" s="36"/>
      <c r="N18" s="10">
        <f t="shared" si="0"/>
        <v>843751.99999999988</v>
      </c>
      <c r="O18">
        <v>63</v>
      </c>
      <c r="P18">
        <v>69</v>
      </c>
      <c r="Q18" t="b">
        <v>1</v>
      </c>
      <c r="R18" t="b">
        <v>1</v>
      </c>
      <c r="S18" s="10">
        <v>0</v>
      </c>
      <c r="T18" s="10">
        <v>1850.3333333333333</v>
      </c>
      <c r="U18" s="10">
        <v>1850.3333333333333</v>
      </c>
      <c r="V18" s="10">
        <v>1850.3333333333333</v>
      </c>
      <c r="W18" s="10">
        <v>1850.3333333333333</v>
      </c>
      <c r="X18" s="10">
        <v>1850.3333333333333</v>
      </c>
      <c r="Y18" s="10">
        <v>1850.3333333333333</v>
      </c>
      <c r="Z18" s="10">
        <v>2775.5</v>
      </c>
      <c r="AA18" s="10">
        <v>2775.5</v>
      </c>
      <c r="AB18" s="10">
        <v>2775.5</v>
      </c>
      <c r="AC18" s="10">
        <v>2775.5</v>
      </c>
      <c r="AD18" s="10">
        <v>2775.5</v>
      </c>
      <c r="AE18" s="10">
        <v>2775.5</v>
      </c>
      <c r="AF18" s="10">
        <v>2775.5</v>
      </c>
      <c r="AG18" s="10">
        <v>2775.5</v>
      </c>
      <c r="AH18" s="10">
        <v>2775.5</v>
      </c>
      <c r="AI18" s="10">
        <v>2775.5</v>
      </c>
      <c r="AJ18" s="10">
        <v>2775.5</v>
      </c>
      <c r="AK18" s="10">
        <v>2775.5</v>
      </c>
      <c r="AL18" s="10">
        <v>2775.5</v>
      </c>
      <c r="AM18" s="10">
        <v>2775.5</v>
      </c>
      <c r="AN18" s="10">
        <v>2775.5</v>
      </c>
      <c r="AO18" s="10">
        <v>2775.5</v>
      </c>
      <c r="AP18" s="10">
        <v>2775.5</v>
      </c>
      <c r="AQ18" s="10">
        <v>2775.5</v>
      </c>
      <c r="AR18" s="10">
        <v>2775.5</v>
      </c>
      <c r="AS18" s="10">
        <v>2775.5</v>
      </c>
      <c r="AT18" s="10">
        <v>1850.3333333333333</v>
      </c>
      <c r="AU18" s="10">
        <v>1850.3333333333333</v>
      </c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</row>
    <row r="19" spans="1:70" ht="13.15" thickBot="1" x14ac:dyDescent="0.4">
      <c r="A19" s="2">
        <v>60</v>
      </c>
      <c r="B19" s="2">
        <v>67</v>
      </c>
      <c r="C19" s="2">
        <v>40000</v>
      </c>
      <c r="D19" s="2">
        <v>1417</v>
      </c>
      <c r="G19" s="37" t="s">
        <v>803</v>
      </c>
      <c r="H19" s="38">
        <f>(H15*12*(H14-H18))*(H4-H14)*0.005</f>
        <v>0</v>
      </c>
      <c r="I19" s="39"/>
      <c r="N19" s="10">
        <f t="shared" si="0"/>
        <v>832650</v>
      </c>
      <c r="O19">
        <v>63</v>
      </c>
      <c r="P19">
        <v>70</v>
      </c>
      <c r="Q19" t="b">
        <v>1</v>
      </c>
      <c r="R19" t="b">
        <v>1</v>
      </c>
      <c r="S19" s="10">
        <v>0</v>
      </c>
      <c r="T19" s="10">
        <v>1850.3333333333333</v>
      </c>
      <c r="U19" s="10">
        <v>1850.3333333333333</v>
      </c>
      <c r="V19" s="10">
        <v>1850.3333333333333</v>
      </c>
      <c r="W19" s="10">
        <v>1850.3333333333333</v>
      </c>
      <c r="X19" s="10">
        <v>1850.3333333333333</v>
      </c>
      <c r="Y19" s="10">
        <v>1850.3333333333333</v>
      </c>
      <c r="Z19" s="10">
        <v>1850.3333333333333</v>
      </c>
      <c r="AA19" s="10">
        <v>2775.5</v>
      </c>
      <c r="AB19" s="10">
        <v>2775.5</v>
      </c>
      <c r="AC19" s="10">
        <v>2775.5</v>
      </c>
      <c r="AD19" s="10">
        <v>2775.5</v>
      </c>
      <c r="AE19" s="10">
        <v>2775.5</v>
      </c>
      <c r="AF19" s="10">
        <v>2775.5</v>
      </c>
      <c r="AG19" s="10">
        <v>2775.5</v>
      </c>
      <c r="AH19" s="10">
        <v>2775.5</v>
      </c>
      <c r="AI19" s="10">
        <v>2775.5</v>
      </c>
      <c r="AJ19" s="10">
        <v>2775.5</v>
      </c>
      <c r="AK19" s="10">
        <v>2775.5</v>
      </c>
      <c r="AL19" s="10">
        <v>2775.5</v>
      </c>
      <c r="AM19" s="10">
        <v>2775.5</v>
      </c>
      <c r="AN19" s="10">
        <v>2775.5</v>
      </c>
      <c r="AO19" s="10">
        <v>2775.5</v>
      </c>
      <c r="AP19" s="10">
        <v>2775.5</v>
      </c>
      <c r="AQ19" s="10">
        <v>2775.5</v>
      </c>
      <c r="AR19" s="10">
        <v>2775.5</v>
      </c>
      <c r="AS19" s="10">
        <v>2775.5</v>
      </c>
      <c r="AT19" s="10">
        <v>1850.3333333333333</v>
      </c>
      <c r="AU19" s="10">
        <v>1850.3333333333333</v>
      </c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</row>
    <row r="20" spans="1:70" x14ac:dyDescent="0.35">
      <c r="A20" s="2">
        <v>60</v>
      </c>
      <c r="B20" s="2">
        <v>67</v>
      </c>
      <c r="C20" s="2">
        <v>60000</v>
      </c>
      <c r="D20" s="2">
        <v>1852</v>
      </c>
      <c r="N20" s="10">
        <f t="shared" si="0"/>
        <v>814896.99999999977</v>
      </c>
      <c r="O20">
        <v>64</v>
      </c>
      <c r="P20">
        <v>62</v>
      </c>
      <c r="Q20" t="b">
        <v>1</v>
      </c>
      <c r="R20" t="b">
        <v>1</v>
      </c>
      <c r="S20" s="10">
        <v>0</v>
      </c>
      <c r="T20" s="10">
        <v>0</v>
      </c>
      <c r="U20" s="10">
        <v>2555.9500000000003</v>
      </c>
      <c r="V20" s="10">
        <v>2555.9500000000003</v>
      </c>
      <c r="W20" s="10">
        <v>2555.9500000000003</v>
      </c>
      <c r="X20" s="10">
        <v>2555.9500000000003</v>
      </c>
      <c r="Y20" s="10">
        <v>2555.9500000000003</v>
      </c>
      <c r="Z20" s="10">
        <v>2555.9500000000003</v>
      </c>
      <c r="AA20" s="10">
        <v>2555.9500000000003</v>
      </c>
      <c r="AB20" s="10">
        <v>2555.9500000000003</v>
      </c>
      <c r="AC20" s="10">
        <v>2555.9500000000003</v>
      </c>
      <c r="AD20" s="10">
        <v>2555.9500000000003</v>
      </c>
      <c r="AE20" s="10">
        <v>2555.9500000000003</v>
      </c>
      <c r="AF20" s="10">
        <v>2555.9500000000003</v>
      </c>
      <c r="AG20" s="10">
        <v>2555.9500000000003</v>
      </c>
      <c r="AH20" s="10">
        <v>2555.9500000000003</v>
      </c>
      <c r="AI20" s="10">
        <v>2555.9500000000003</v>
      </c>
      <c r="AJ20" s="10">
        <v>2555.9500000000003</v>
      </c>
      <c r="AK20" s="10">
        <v>2555.9500000000003</v>
      </c>
      <c r="AL20" s="10">
        <v>2555.9500000000003</v>
      </c>
      <c r="AM20" s="10">
        <v>2555.9500000000003</v>
      </c>
      <c r="AN20" s="10">
        <v>2555.9500000000003</v>
      </c>
      <c r="AO20" s="10">
        <v>2555.9500000000003</v>
      </c>
      <c r="AP20" s="10">
        <v>2555.9500000000003</v>
      </c>
      <c r="AQ20" s="10">
        <v>2555.9500000000003</v>
      </c>
      <c r="AR20" s="10">
        <v>2555.9500000000003</v>
      </c>
      <c r="AS20" s="10">
        <v>2555.9500000000003</v>
      </c>
      <c r="AT20" s="10">
        <v>2004.6666666666667</v>
      </c>
      <c r="AU20" s="10">
        <v>2004.6666666666667</v>
      </c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</row>
    <row r="21" spans="1:70" x14ac:dyDescent="0.35">
      <c r="A21" s="2">
        <v>60</v>
      </c>
      <c r="B21" s="2">
        <v>67</v>
      </c>
      <c r="C21" s="2">
        <v>80000</v>
      </c>
      <c r="D21" s="2">
        <v>2287</v>
      </c>
      <c r="N21" s="10">
        <f t="shared" si="0"/>
        <v>854990.3333333336</v>
      </c>
      <c r="O21">
        <v>64</v>
      </c>
      <c r="P21">
        <v>63</v>
      </c>
      <c r="Q21" t="b">
        <v>1</v>
      </c>
      <c r="R21" t="b">
        <v>1</v>
      </c>
      <c r="S21" s="10">
        <v>0</v>
      </c>
      <c r="T21" s="10">
        <v>0</v>
      </c>
      <c r="U21" s="10">
        <v>2689.5944444444444</v>
      </c>
      <c r="V21" s="10">
        <v>2689.5944444444444</v>
      </c>
      <c r="W21" s="10">
        <v>2689.5944444444444</v>
      </c>
      <c r="X21" s="10">
        <v>2689.5944444444444</v>
      </c>
      <c r="Y21" s="10">
        <v>2689.5944444444444</v>
      </c>
      <c r="Z21" s="10">
        <v>2689.5944444444444</v>
      </c>
      <c r="AA21" s="10">
        <v>2689.5944444444444</v>
      </c>
      <c r="AB21" s="10">
        <v>2689.5944444444444</v>
      </c>
      <c r="AC21" s="10">
        <v>2689.5944444444444</v>
      </c>
      <c r="AD21" s="10">
        <v>2689.5944444444444</v>
      </c>
      <c r="AE21" s="10">
        <v>2689.5944444444444</v>
      </c>
      <c r="AF21" s="10">
        <v>2689.5944444444444</v>
      </c>
      <c r="AG21" s="10">
        <v>2689.5944444444444</v>
      </c>
      <c r="AH21" s="10">
        <v>2689.5944444444444</v>
      </c>
      <c r="AI21" s="10">
        <v>2689.5944444444444</v>
      </c>
      <c r="AJ21" s="10">
        <v>2689.5944444444444</v>
      </c>
      <c r="AK21" s="10">
        <v>2689.5944444444444</v>
      </c>
      <c r="AL21" s="10">
        <v>2689.5944444444444</v>
      </c>
      <c r="AM21" s="10">
        <v>2689.5944444444444</v>
      </c>
      <c r="AN21" s="10">
        <v>2689.5944444444444</v>
      </c>
      <c r="AO21" s="10">
        <v>2689.5944444444444</v>
      </c>
      <c r="AP21" s="10">
        <v>2689.5944444444444</v>
      </c>
      <c r="AQ21" s="10">
        <v>2689.5944444444444</v>
      </c>
      <c r="AR21" s="10">
        <v>2689.5944444444444</v>
      </c>
      <c r="AS21" s="10">
        <v>2689.5944444444444</v>
      </c>
      <c r="AT21" s="10">
        <v>2004.6666666666667</v>
      </c>
      <c r="AU21" s="10">
        <v>2004.6666666666667</v>
      </c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</row>
    <row r="22" spans="1:70" x14ac:dyDescent="0.35">
      <c r="A22" s="2">
        <v>60</v>
      </c>
      <c r="B22" s="2">
        <v>67</v>
      </c>
      <c r="C22" s="2">
        <v>100000</v>
      </c>
      <c r="D22" s="2">
        <v>2534</v>
      </c>
      <c r="N22" s="10">
        <f t="shared" si="0"/>
        <v>887566.16666666674</v>
      </c>
      <c r="O22">
        <v>64</v>
      </c>
      <c r="P22">
        <v>64</v>
      </c>
      <c r="Q22" t="b">
        <v>1</v>
      </c>
      <c r="R22" t="b">
        <v>1</v>
      </c>
      <c r="S22" s="10">
        <v>0</v>
      </c>
      <c r="T22" s="10">
        <v>0</v>
      </c>
      <c r="U22" s="10">
        <v>2798.1805555555557</v>
      </c>
      <c r="V22" s="10">
        <v>2798.1805555555557</v>
      </c>
      <c r="W22" s="10">
        <v>2798.1805555555557</v>
      </c>
      <c r="X22" s="10">
        <v>2798.1805555555557</v>
      </c>
      <c r="Y22" s="10">
        <v>2798.1805555555557</v>
      </c>
      <c r="Z22" s="10">
        <v>2798.1805555555557</v>
      </c>
      <c r="AA22" s="10">
        <v>2798.1805555555557</v>
      </c>
      <c r="AB22" s="10">
        <v>2798.1805555555557</v>
      </c>
      <c r="AC22" s="10">
        <v>2798.1805555555557</v>
      </c>
      <c r="AD22" s="10">
        <v>2798.1805555555557</v>
      </c>
      <c r="AE22" s="10">
        <v>2798.1805555555557</v>
      </c>
      <c r="AF22" s="10">
        <v>2798.1805555555557</v>
      </c>
      <c r="AG22" s="10">
        <v>2798.1805555555557</v>
      </c>
      <c r="AH22" s="10">
        <v>2798.1805555555557</v>
      </c>
      <c r="AI22" s="10">
        <v>2798.1805555555557</v>
      </c>
      <c r="AJ22" s="10">
        <v>2798.1805555555557</v>
      </c>
      <c r="AK22" s="10">
        <v>2798.1805555555557</v>
      </c>
      <c r="AL22" s="10">
        <v>2798.1805555555557</v>
      </c>
      <c r="AM22" s="10">
        <v>2798.1805555555557</v>
      </c>
      <c r="AN22" s="10">
        <v>2798.1805555555557</v>
      </c>
      <c r="AO22" s="10">
        <v>2798.1805555555557</v>
      </c>
      <c r="AP22" s="10">
        <v>2798.1805555555557</v>
      </c>
      <c r="AQ22" s="10">
        <v>2798.1805555555557</v>
      </c>
      <c r="AR22" s="10">
        <v>2798.1805555555557</v>
      </c>
      <c r="AS22" s="10">
        <v>2798.1805555555557</v>
      </c>
      <c r="AT22" s="10">
        <v>2004.6666666666667</v>
      </c>
      <c r="AU22" s="10">
        <v>2004.6666666666667</v>
      </c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</row>
    <row r="23" spans="1:70" x14ac:dyDescent="0.35">
      <c r="A23" s="2">
        <v>60</v>
      </c>
      <c r="B23" s="2">
        <v>67</v>
      </c>
      <c r="C23" s="2">
        <v>120000</v>
      </c>
      <c r="D23" s="2">
        <v>2738</v>
      </c>
      <c r="N23" s="10">
        <f t="shared" si="0"/>
        <v>902100.00000000035</v>
      </c>
      <c r="O23">
        <v>64</v>
      </c>
      <c r="P23">
        <v>65</v>
      </c>
      <c r="Q23" t="b">
        <v>1</v>
      </c>
      <c r="R23" t="b">
        <v>1</v>
      </c>
      <c r="S23" s="10">
        <v>0</v>
      </c>
      <c r="T23" s="10">
        <v>0</v>
      </c>
      <c r="U23" s="10">
        <v>2004.6666666666667</v>
      </c>
      <c r="V23" s="10">
        <v>2881.7083333333335</v>
      </c>
      <c r="W23" s="10">
        <v>2881.7083333333335</v>
      </c>
      <c r="X23" s="10">
        <v>2881.7083333333335</v>
      </c>
      <c r="Y23" s="10">
        <v>2881.7083333333335</v>
      </c>
      <c r="Z23" s="10">
        <v>2881.7083333333335</v>
      </c>
      <c r="AA23" s="10">
        <v>2881.7083333333335</v>
      </c>
      <c r="AB23" s="10">
        <v>2881.7083333333335</v>
      </c>
      <c r="AC23" s="10">
        <v>2881.7083333333335</v>
      </c>
      <c r="AD23" s="10">
        <v>2881.7083333333335</v>
      </c>
      <c r="AE23" s="10">
        <v>2881.7083333333335</v>
      </c>
      <c r="AF23" s="10">
        <v>2881.7083333333335</v>
      </c>
      <c r="AG23" s="10">
        <v>2881.7083333333335</v>
      </c>
      <c r="AH23" s="10">
        <v>2881.7083333333335</v>
      </c>
      <c r="AI23" s="10">
        <v>2881.7083333333335</v>
      </c>
      <c r="AJ23" s="10">
        <v>2881.7083333333335</v>
      </c>
      <c r="AK23" s="10">
        <v>2881.7083333333335</v>
      </c>
      <c r="AL23" s="10">
        <v>2881.7083333333335</v>
      </c>
      <c r="AM23" s="10">
        <v>2881.7083333333335</v>
      </c>
      <c r="AN23" s="10">
        <v>2881.7083333333335</v>
      </c>
      <c r="AO23" s="10">
        <v>2881.7083333333335</v>
      </c>
      <c r="AP23" s="10">
        <v>2881.7083333333335</v>
      </c>
      <c r="AQ23" s="10">
        <v>2881.7083333333335</v>
      </c>
      <c r="AR23" s="10">
        <v>2881.7083333333335</v>
      </c>
      <c r="AS23" s="10">
        <v>2881.7083333333335</v>
      </c>
      <c r="AT23" s="10">
        <v>2004.6666666666667</v>
      </c>
      <c r="AU23" s="10">
        <v>2004.6666666666667</v>
      </c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</row>
    <row r="24" spans="1:70" x14ac:dyDescent="0.35">
      <c r="A24" s="2">
        <v>60</v>
      </c>
      <c r="B24" s="2">
        <v>67</v>
      </c>
      <c r="C24" s="2">
        <v>127200</v>
      </c>
      <c r="D24" s="2">
        <v>2811</v>
      </c>
      <c r="N24" s="10">
        <f t="shared" si="0"/>
        <v>914629.16666666651</v>
      </c>
      <c r="O24">
        <v>64</v>
      </c>
      <c r="P24">
        <v>66</v>
      </c>
      <c r="Q24" t="b">
        <v>1</v>
      </c>
      <c r="R24" t="b">
        <v>1</v>
      </c>
      <c r="S24" s="10">
        <v>0</v>
      </c>
      <c r="T24" s="10">
        <v>0</v>
      </c>
      <c r="U24" s="10">
        <v>2004.6666666666667</v>
      </c>
      <c r="V24" s="10">
        <v>2004.6666666666667</v>
      </c>
      <c r="W24" s="10">
        <v>2965.2361111111113</v>
      </c>
      <c r="X24" s="10">
        <v>2965.2361111111113</v>
      </c>
      <c r="Y24" s="10">
        <v>2965.2361111111113</v>
      </c>
      <c r="Z24" s="10">
        <v>2965.2361111111113</v>
      </c>
      <c r="AA24" s="10">
        <v>2965.2361111111113</v>
      </c>
      <c r="AB24" s="10">
        <v>2965.2361111111113</v>
      </c>
      <c r="AC24" s="10">
        <v>2965.2361111111113</v>
      </c>
      <c r="AD24" s="10">
        <v>2965.2361111111113</v>
      </c>
      <c r="AE24" s="10">
        <v>2965.2361111111113</v>
      </c>
      <c r="AF24" s="10">
        <v>2965.2361111111113</v>
      </c>
      <c r="AG24" s="10">
        <v>2965.2361111111113</v>
      </c>
      <c r="AH24" s="10">
        <v>2965.2361111111113</v>
      </c>
      <c r="AI24" s="10">
        <v>2965.2361111111113</v>
      </c>
      <c r="AJ24" s="10">
        <v>2965.2361111111113</v>
      </c>
      <c r="AK24" s="10">
        <v>2965.2361111111113</v>
      </c>
      <c r="AL24" s="10">
        <v>2965.2361111111113</v>
      </c>
      <c r="AM24" s="10">
        <v>2965.2361111111113</v>
      </c>
      <c r="AN24" s="10">
        <v>2965.2361111111113</v>
      </c>
      <c r="AO24" s="10">
        <v>2965.2361111111113</v>
      </c>
      <c r="AP24" s="10">
        <v>2965.2361111111113</v>
      </c>
      <c r="AQ24" s="10">
        <v>2965.2361111111113</v>
      </c>
      <c r="AR24" s="10">
        <v>2965.2361111111113</v>
      </c>
      <c r="AS24" s="10">
        <v>2965.2361111111113</v>
      </c>
      <c r="AT24" s="10">
        <v>2004.6666666666667</v>
      </c>
      <c r="AU24" s="10">
        <v>2004.6666666666667</v>
      </c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</row>
    <row r="25" spans="1:70" x14ac:dyDescent="0.35">
      <c r="A25">
        <v>60</v>
      </c>
      <c r="B25">
        <v>70</v>
      </c>
      <c r="C25">
        <v>0</v>
      </c>
      <c r="D25">
        <v>0</v>
      </c>
      <c r="N25" s="10">
        <f t="shared" si="0"/>
        <v>914128.00000000012</v>
      </c>
      <c r="O25">
        <v>64</v>
      </c>
      <c r="P25">
        <v>67</v>
      </c>
      <c r="Q25" t="b">
        <v>1</v>
      </c>
      <c r="R25" t="b">
        <v>1</v>
      </c>
      <c r="S25" s="10">
        <v>0</v>
      </c>
      <c r="T25" s="10">
        <v>0</v>
      </c>
      <c r="U25" s="10">
        <v>2004.6666666666667</v>
      </c>
      <c r="V25" s="10">
        <v>2004.6666666666667</v>
      </c>
      <c r="W25" s="10">
        <v>2004.6666666666667</v>
      </c>
      <c r="X25" s="10">
        <v>3007</v>
      </c>
      <c r="Y25" s="10">
        <v>3007</v>
      </c>
      <c r="Z25" s="10">
        <v>3007</v>
      </c>
      <c r="AA25" s="10">
        <v>3007</v>
      </c>
      <c r="AB25" s="10">
        <v>3007</v>
      </c>
      <c r="AC25" s="10">
        <v>3007</v>
      </c>
      <c r="AD25" s="10">
        <v>3007</v>
      </c>
      <c r="AE25" s="10">
        <v>3007</v>
      </c>
      <c r="AF25" s="10">
        <v>3007</v>
      </c>
      <c r="AG25" s="10">
        <v>3007</v>
      </c>
      <c r="AH25" s="10">
        <v>3007</v>
      </c>
      <c r="AI25" s="10">
        <v>3007</v>
      </c>
      <c r="AJ25" s="10">
        <v>3007</v>
      </c>
      <c r="AK25" s="10">
        <v>3007</v>
      </c>
      <c r="AL25" s="10">
        <v>3007</v>
      </c>
      <c r="AM25" s="10">
        <v>3007</v>
      </c>
      <c r="AN25" s="10">
        <v>3007</v>
      </c>
      <c r="AO25" s="10">
        <v>3007</v>
      </c>
      <c r="AP25" s="10">
        <v>3007</v>
      </c>
      <c r="AQ25" s="10">
        <v>3007</v>
      </c>
      <c r="AR25" s="10">
        <v>3007</v>
      </c>
      <c r="AS25" s="10">
        <v>3007</v>
      </c>
      <c r="AT25" s="10">
        <v>2004.6666666666667</v>
      </c>
      <c r="AU25" s="10">
        <v>2004.6666666666667</v>
      </c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</row>
    <row r="26" spans="1:70" x14ac:dyDescent="0.35">
      <c r="A26" s="2">
        <v>60</v>
      </c>
      <c r="B26" s="2">
        <v>70</v>
      </c>
      <c r="C26" s="2">
        <v>20000</v>
      </c>
      <c r="D26" s="2">
        <v>1217</v>
      </c>
      <c r="N26" s="10">
        <f t="shared" si="0"/>
        <v>902100.00000000023</v>
      </c>
      <c r="O26">
        <v>64</v>
      </c>
      <c r="P26">
        <v>68</v>
      </c>
      <c r="Q26" t="b">
        <v>1</v>
      </c>
      <c r="R26" t="b">
        <v>1</v>
      </c>
      <c r="S26" s="10">
        <v>0</v>
      </c>
      <c r="T26" s="10">
        <v>0</v>
      </c>
      <c r="U26" s="10">
        <v>2004.6666666666667</v>
      </c>
      <c r="V26" s="10">
        <v>2004.6666666666667</v>
      </c>
      <c r="W26" s="10">
        <v>2004.6666666666667</v>
      </c>
      <c r="X26" s="10">
        <v>2004.6666666666667</v>
      </c>
      <c r="Y26" s="10">
        <v>3007</v>
      </c>
      <c r="Z26" s="10">
        <v>3007</v>
      </c>
      <c r="AA26" s="10">
        <v>3007</v>
      </c>
      <c r="AB26" s="10">
        <v>3007</v>
      </c>
      <c r="AC26" s="10">
        <v>3007</v>
      </c>
      <c r="AD26" s="10">
        <v>3007</v>
      </c>
      <c r="AE26" s="10">
        <v>3007</v>
      </c>
      <c r="AF26" s="10">
        <v>3007</v>
      </c>
      <c r="AG26" s="10">
        <v>3007</v>
      </c>
      <c r="AH26" s="10">
        <v>3007</v>
      </c>
      <c r="AI26" s="10">
        <v>3007</v>
      </c>
      <c r="AJ26" s="10">
        <v>3007</v>
      </c>
      <c r="AK26" s="10">
        <v>3007</v>
      </c>
      <c r="AL26" s="10">
        <v>3007</v>
      </c>
      <c r="AM26" s="10">
        <v>3007</v>
      </c>
      <c r="AN26" s="10">
        <v>3007</v>
      </c>
      <c r="AO26" s="10">
        <v>3007</v>
      </c>
      <c r="AP26" s="10">
        <v>3007</v>
      </c>
      <c r="AQ26" s="10">
        <v>3007</v>
      </c>
      <c r="AR26" s="10">
        <v>3007</v>
      </c>
      <c r="AS26" s="10">
        <v>3007</v>
      </c>
      <c r="AT26" s="10">
        <v>2004.6666666666667</v>
      </c>
      <c r="AU26" s="10">
        <v>2004.6666666666667</v>
      </c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</row>
    <row r="27" spans="1:70" x14ac:dyDescent="0.35">
      <c r="A27" s="2">
        <v>60</v>
      </c>
      <c r="B27" s="2">
        <v>70</v>
      </c>
      <c r="C27" s="2">
        <v>40000</v>
      </c>
      <c r="D27" s="2">
        <v>1773</v>
      </c>
      <c r="N27" s="10">
        <f t="shared" si="0"/>
        <v>890072.00000000023</v>
      </c>
      <c r="O27">
        <v>64</v>
      </c>
      <c r="P27">
        <v>69</v>
      </c>
      <c r="Q27" t="b">
        <v>1</v>
      </c>
      <c r="R27" t="b">
        <v>1</v>
      </c>
      <c r="S27" s="10">
        <v>0</v>
      </c>
      <c r="T27" s="10">
        <v>0</v>
      </c>
      <c r="U27" s="10">
        <v>2004.6666666666667</v>
      </c>
      <c r="V27" s="10">
        <v>2004.6666666666667</v>
      </c>
      <c r="W27" s="10">
        <v>2004.6666666666667</v>
      </c>
      <c r="X27" s="10">
        <v>2004.6666666666667</v>
      </c>
      <c r="Y27" s="10">
        <v>2004.6666666666667</v>
      </c>
      <c r="Z27" s="10">
        <v>3007</v>
      </c>
      <c r="AA27" s="10">
        <v>3007</v>
      </c>
      <c r="AB27" s="10">
        <v>3007</v>
      </c>
      <c r="AC27" s="10">
        <v>3007</v>
      </c>
      <c r="AD27" s="10">
        <v>3007</v>
      </c>
      <c r="AE27" s="10">
        <v>3007</v>
      </c>
      <c r="AF27" s="10">
        <v>3007</v>
      </c>
      <c r="AG27" s="10">
        <v>3007</v>
      </c>
      <c r="AH27" s="10">
        <v>3007</v>
      </c>
      <c r="AI27" s="10">
        <v>3007</v>
      </c>
      <c r="AJ27" s="10">
        <v>3007</v>
      </c>
      <c r="AK27" s="10">
        <v>3007</v>
      </c>
      <c r="AL27" s="10">
        <v>3007</v>
      </c>
      <c r="AM27" s="10">
        <v>3007</v>
      </c>
      <c r="AN27" s="10">
        <v>3007</v>
      </c>
      <c r="AO27" s="10">
        <v>3007</v>
      </c>
      <c r="AP27" s="10">
        <v>3007</v>
      </c>
      <c r="AQ27" s="10">
        <v>3007</v>
      </c>
      <c r="AR27" s="10">
        <v>3007</v>
      </c>
      <c r="AS27" s="10">
        <v>3007</v>
      </c>
      <c r="AT27" s="10">
        <v>2004.6666666666667</v>
      </c>
      <c r="AU27" s="10">
        <v>2004.6666666666667</v>
      </c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</row>
    <row r="28" spans="1:70" x14ac:dyDescent="0.35">
      <c r="A28" s="2">
        <v>60</v>
      </c>
      <c r="B28" s="2">
        <v>70</v>
      </c>
      <c r="C28" s="2">
        <v>60000</v>
      </c>
      <c r="D28" s="2">
        <v>2327</v>
      </c>
      <c r="N28" s="10">
        <f t="shared" si="0"/>
        <v>878044.00000000012</v>
      </c>
      <c r="O28">
        <v>64</v>
      </c>
      <c r="P28">
        <v>70</v>
      </c>
      <c r="Q28" t="b">
        <v>1</v>
      </c>
      <c r="R28" t="b">
        <v>1</v>
      </c>
      <c r="S28" s="10">
        <v>0</v>
      </c>
      <c r="T28" s="10">
        <v>0</v>
      </c>
      <c r="U28" s="10">
        <v>2004.6666666666667</v>
      </c>
      <c r="V28" s="10">
        <v>2004.6666666666667</v>
      </c>
      <c r="W28" s="10">
        <v>2004.6666666666667</v>
      </c>
      <c r="X28" s="10">
        <v>2004.6666666666667</v>
      </c>
      <c r="Y28" s="10">
        <v>2004.6666666666667</v>
      </c>
      <c r="Z28" s="10">
        <v>2004.6666666666667</v>
      </c>
      <c r="AA28" s="10">
        <v>3007</v>
      </c>
      <c r="AB28" s="10">
        <v>3007</v>
      </c>
      <c r="AC28" s="10">
        <v>3007</v>
      </c>
      <c r="AD28" s="10">
        <v>3007</v>
      </c>
      <c r="AE28" s="10">
        <v>3007</v>
      </c>
      <c r="AF28" s="10">
        <v>3007</v>
      </c>
      <c r="AG28" s="10">
        <v>3007</v>
      </c>
      <c r="AH28" s="10">
        <v>3007</v>
      </c>
      <c r="AI28" s="10">
        <v>3007</v>
      </c>
      <c r="AJ28" s="10">
        <v>3007</v>
      </c>
      <c r="AK28" s="10">
        <v>3007</v>
      </c>
      <c r="AL28" s="10">
        <v>3007</v>
      </c>
      <c r="AM28" s="10">
        <v>3007</v>
      </c>
      <c r="AN28" s="10">
        <v>3007</v>
      </c>
      <c r="AO28" s="10">
        <v>3007</v>
      </c>
      <c r="AP28" s="10">
        <v>3007</v>
      </c>
      <c r="AQ28" s="10">
        <v>3007</v>
      </c>
      <c r="AR28" s="10">
        <v>3007</v>
      </c>
      <c r="AS28" s="10">
        <v>3007</v>
      </c>
      <c r="AT28" s="10">
        <v>2004.6666666666667</v>
      </c>
      <c r="AU28" s="10">
        <v>2004.6666666666667</v>
      </c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</row>
    <row r="29" spans="1:70" x14ac:dyDescent="0.35">
      <c r="A29" s="2">
        <v>60</v>
      </c>
      <c r="B29" s="2">
        <v>70</v>
      </c>
      <c r="C29" s="2">
        <v>80000</v>
      </c>
      <c r="D29" s="2">
        <v>2876</v>
      </c>
      <c r="N29" s="10">
        <f t="shared" si="0"/>
        <v>844600.79999999981</v>
      </c>
      <c r="O29">
        <v>65</v>
      </c>
      <c r="P29">
        <v>62</v>
      </c>
      <c r="Q29" t="b">
        <v>1</v>
      </c>
      <c r="R29" t="b">
        <v>1</v>
      </c>
      <c r="S29" s="10">
        <v>0</v>
      </c>
      <c r="T29" s="10">
        <v>0</v>
      </c>
      <c r="U29" s="10">
        <v>0</v>
      </c>
      <c r="V29" s="10">
        <v>2752.7249999999999</v>
      </c>
      <c r="W29" s="10">
        <v>2752.7249999999999</v>
      </c>
      <c r="X29" s="10">
        <v>2752.7249999999999</v>
      </c>
      <c r="Y29" s="10">
        <v>2752.7249999999999</v>
      </c>
      <c r="Z29" s="10">
        <v>2752.7249999999999</v>
      </c>
      <c r="AA29" s="10">
        <v>2752.7249999999999</v>
      </c>
      <c r="AB29" s="10">
        <v>2752.7249999999999</v>
      </c>
      <c r="AC29" s="10">
        <v>2752.7249999999999</v>
      </c>
      <c r="AD29" s="10">
        <v>2752.7249999999999</v>
      </c>
      <c r="AE29" s="10">
        <v>2752.7249999999999</v>
      </c>
      <c r="AF29" s="10">
        <v>2752.7249999999999</v>
      </c>
      <c r="AG29" s="10">
        <v>2752.7249999999999</v>
      </c>
      <c r="AH29" s="10">
        <v>2752.7249999999999</v>
      </c>
      <c r="AI29" s="10">
        <v>2752.7249999999999</v>
      </c>
      <c r="AJ29" s="10">
        <v>2752.7249999999999</v>
      </c>
      <c r="AK29" s="10">
        <v>2752.7249999999999</v>
      </c>
      <c r="AL29" s="10">
        <v>2752.7249999999999</v>
      </c>
      <c r="AM29" s="10">
        <v>2752.7249999999999</v>
      </c>
      <c r="AN29" s="10">
        <v>2752.7249999999999</v>
      </c>
      <c r="AO29" s="10">
        <v>2752.7249999999999</v>
      </c>
      <c r="AP29" s="10">
        <v>2752.7249999999999</v>
      </c>
      <c r="AQ29" s="10">
        <v>2752.7249999999999</v>
      </c>
      <c r="AR29" s="10">
        <v>2752.7249999999999</v>
      </c>
      <c r="AS29" s="10">
        <v>2752.7249999999999</v>
      </c>
      <c r="AT29" s="10">
        <v>2159</v>
      </c>
      <c r="AU29" s="10">
        <v>2159</v>
      </c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</row>
    <row r="30" spans="1:70" x14ac:dyDescent="0.35">
      <c r="A30" s="2">
        <v>60</v>
      </c>
      <c r="B30" s="2">
        <v>70</v>
      </c>
      <c r="C30" s="2">
        <v>100000</v>
      </c>
      <c r="D30" s="2">
        <v>3136</v>
      </c>
      <c r="N30" s="10">
        <f t="shared" si="0"/>
        <v>886053.60000000009</v>
      </c>
      <c r="O30">
        <v>65</v>
      </c>
      <c r="P30">
        <v>63</v>
      </c>
      <c r="Q30" t="b">
        <v>1</v>
      </c>
      <c r="R30" t="b">
        <v>1</v>
      </c>
      <c r="S30" s="10">
        <v>0</v>
      </c>
      <c r="T30" s="10">
        <v>0</v>
      </c>
      <c r="U30" s="10">
        <v>0</v>
      </c>
      <c r="V30" s="10">
        <v>2896.6583333333333</v>
      </c>
      <c r="W30" s="10">
        <v>2896.6583333333333</v>
      </c>
      <c r="X30" s="10">
        <v>2896.6583333333333</v>
      </c>
      <c r="Y30" s="10">
        <v>2896.6583333333333</v>
      </c>
      <c r="Z30" s="10">
        <v>2896.6583333333333</v>
      </c>
      <c r="AA30" s="10">
        <v>2896.6583333333333</v>
      </c>
      <c r="AB30" s="10">
        <v>2896.6583333333333</v>
      </c>
      <c r="AC30" s="10">
        <v>2896.6583333333333</v>
      </c>
      <c r="AD30" s="10">
        <v>2896.6583333333333</v>
      </c>
      <c r="AE30" s="10">
        <v>2896.6583333333333</v>
      </c>
      <c r="AF30" s="10">
        <v>2896.6583333333333</v>
      </c>
      <c r="AG30" s="10">
        <v>2896.6583333333333</v>
      </c>
      <c r="AH30" s="10">
        <v>2896.6583333333333</v>
      </c>
      <c r="AI30" s="10">
        <v>2896.6583333333333</v>
      </c>
      <c r="AJ30" s="10">
        <v>2896.6583333333333</v>
      </c>
      <c r="AK30" s="10">
        <v>2896.6583333333333</v>
      </c>
      <c r="AL30" s="10">
        <v>2896.6583333333333</v>
      </c>
      <c r="AM30" s="10">
        <v>2896.6583333333333</v>
      </c>
      <c r="AN30" s="10">
        <v>2896.6583333333333</v>
      </c>
      <c r="AO30" s="10">
        <v>2896.6583333333333</v>
      </c>
      <c r="AP30" s="10">
        <v>2896.6583333333333</v>
      </c>
      <c r="AQ30" s="10">
        <v>2896.6583333333333</v>
      </c>
      <c r="AR30" s="10">
        <v>2896.6583333333333</v>
      </c>
      <c r="AS30" s="10">
        <v>2896.6583333333333</v>
      </c>
      <c r="AT30" s="10">
        <v>2159</v>
      </c>
      <c r="AU30" s="10">
        <v>2159</v>
      </c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</row>
    <row r="31" spans="1:70" x14ac:dyDescent="0.35">
      <c r="A31" s="2">
        <v>60</v>
      </c>
      <c r="B31" s="2">
        <v>70</v>
      </c>
      <c r="C31" s="2">
        <v>120000</v>
      </c>
      <c r="D31" s="2">
        <v>3396</v>
      </c>
      <c r="N31" s="10">
        <f t="shared" si="0"/>
        <v>919734</v>
      </c>
      <c r="O31">
        <v>65</v>
      </c>
      <c r="P31">
        <v>64</v>
      </c>
      <c r="Q31" t="b">
        <v>1</v>
      </c>
      <c r="R31" t="b">
        <v>1</v>
      </c>
      <c r="S31" s="10">
        <v>0</v>
      </c>
      <c r="T31" s="10">
        <v>0</v>
      </c>
      <c r="U31" s="10">
        <v>0</v>
      </c>
      <c r="V31" s="10">
        <v>3013.604166666667</v>
      </c>
      <c r="W31" s="10">
        <v>3013.604166666667</v>
      </c>
      <c r="X31" s="10">
        <v>3013.604166666667</v>
      </c>
      <c r="Y31" s="10">
        <v>3013.604166666667</v>
      </c>
      <c r="Z31" s="10">
        <v>3013.604166666667</v>
      </c>
      <c r="AA31" s="10">
        <v>3013.604166666667</v>
      </c>
      <c r="AB31" s="10">
        <v>3013.604166666667</v>
      </c>
      <c r="AC31" s="10">
        <v>3013.604166666667</v>
      </c>
      <c r="AD31" s="10">
        <v>3013.604166666667</v>
      </c>
      <c r="AE31" s="10">
        <v>3013.604166666667</v>
      </c>
      <c r="AF31" s="10">
        <v>3013.604166666667</v>
      </c>
      <c r="AG31" s="10">
        <v>3013.604166666667</v>
      </c>
      <c r="AH31" s="10">
        <v>3013.604166666667</v>
      </c>
      <c r="AI31" s="10">
        <v>3013.604166666667</v>
      </c>
      <c r="AJ31" s="10">
        <v>3013.604166666667</v>
      </c>
      <c r="AK31" s="10">
        <v>3013.604166666667</v>
      </c>
      <c r="AL31" s="10">
        <v>3013.604166666667</v>
      </c>
      <c r="AM31" s="10">
        <v>3013.604166666667</v>
      </c>
      <c r="AN31" s="10">
        <v>3013.604166666667</v>
      </c>
      <c r="AO31" s="10">
        <v>3013.604166666667</v>
      </c>
      <c r="AP31" s="10">
        <v>3013.604166666667</v>
      </c>
      <c r="AQ31" s="10">
        <v>3013.604166666667</v>
      </c>
      <c r="AR31" s="10">
        <v>3013.604166666667</v>
      </c>
      <c r="AS31" s="10">
        <v>3013.604166666667</v>
      </c>
      <c r="AT31" s="10">
        <v>2159</v>
      </c>
      <c r="AU31" s="10">
        <v>2159</v>
      </c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</row>
    <row r="32" spans="1:70" x14ac:dyDescent="0.35">
      <c r="A32" s="2">
        <v>60</v>
      </c>
      <c r="B32" s="2">
        <v>70</v>
      </c>
      <c r="C32" s="2">
        <v>127200</v>
      </c>
      <c r="D32" s="2">
        <v>3489</v>
      </c>
      <c r="N32" s="10">
        <f t="shared" si="0"/>
        <v>945642</v>
      </c>
      <c r="O32">
        <v>65</v>
      </c>
      <c r="P32">
        <v>65</v>
      </c>
      <c r="Q32" t="b">
        <v>1</v>
      </c>
      <c r="R32" t="b">
        <v>1</v>
      </c>
      <c r="S32" s="10">
        <v>0</v>
      </c>
      <c r="T32" s="10">
        <v>0</v>
      </c>
      <c r="U32" s="10">
        <v>0</v>
      </c>
      <c r="V32" s="10">
        <v>3103.5625</v>
      </c>
      <c r="W32" s="10">
        <v>3103.5625</v>
      </c>
      <c r="X32" s="10">
        <v>3103.5625</v>
      </c>
      <c r="Y32" s="10">
        <v>3103.5625</v>
      </c>
      <c r="Z32" s="10">
        <v>3103.5625</v>
      </c>
      <c r="AA32" s="10">
        <v>3103.5625</v>
      </c>
      <c r="AB32" s="10">
        <v>3103.5625</v>
      </c>
      <c r="AC32" s="10">
        <v>3103.5625</v>
      </c>
      <c r="AD32" s="10">
        <v>3103.5625</v>
      </c>
      <c r="AE32" s="10">
        <v>3103.5625</v>
      </c>
      <c r="AF32" s="10">
        <v>3103.5625</v>
      </c>
      <c r="AG32" s="10">
        <v>3103.5625</v>
      </c>
      <c r="AH32" s="10">
        <v>3103.5625</v>
      </c>
      <c r="AI32" s="10">
        <v>3103.5625</v>
      </c>
      <c r="AJ32" s="10">
        <v>3103.5625</v>
      </c>
      <c r="AK32" s="10">
        <v>3103.5625</v>
      </c>
      <c r="AL32" s="10">
        <v>3103.5625</v>
      </c>
      <c r="AM32" s="10">
        <v>3103.5625</v>
      </c>
      <c r="AN32" s="10">
        <v>3103.5625</v>
      </c>
      <c r="AO32" s="10">
        <v>3103.5625</v>
      </c>
      <c r="AP32" s="10">
        <v>3103.5625</v>
      </c>
      <c r="AQ32" s="10">
        <v>3103.5625</v>
      </c>
      <c r="AR32" s="10">
        <v>3103.5625</v>
      </c>
      <c r="AS32" s="10">
        <v>3103.5625</v>
      </c>
      <c r="AT32" s="10">
        <v>2159</v>
      </c>
      <c r="AU32" s="10">
        <v>2159</v>
      </c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</row>
    <row r="33" spans="14:70" x14ac:dyDescent="0.35">
      <c r="N33" s="10">
        <f t="shared" si="0"/>
        <v>959135.75</v>
      </c>
      <c r="O33">
        <v>65</v>
      </c>
      <c r="P33">
        <v>66</v>
      </c>
      <c r="Q33" t="b">
        <v>1</v>
      </c>
      <c r="R33" t="b">
        <v>1</v>
      </c>
      <c r="S33" s="10">
        <v>0</v>
      </c>
      <c r="T33" s="10">
        <v>0</v>
      </c>
      <c r="U33" s="10">
        <v>0</v>
      </c>
      <c r="V33" s="10">
        <v>2159</v>
      </c>
      <c r="W33" s="10">
        <v>3193.5208333333335</v>
      </c>
      <c r="X33" s="10">
        <v>3193.5208333333335</v>
      </c>
      <c r="Y33" s="10">
        <v>3193.5208333333335</v>
      </c>
      <c r="Z33" s="10">
        <v>3193.5208333333335</v>
      </c>
      <c r="AA33" s="10">
        <v>3193.5208333333335</v>
      </c>
      <c r="AB33" s="10">
        <v>3193.5208333333335</v>
      </c>
      <c r="AC33" s="10">
        <v>3193.5208333333335</v>
      </c>
      <c r="AD33" s="10">
        <v>3193.5208333333335</v>
      </c>
      <c r="AE33" s="10">
        <v>3193.5208333333335</v>
      </c>
      <c r="AF33" s="10">
        <v>3193.5208333333335</v>
      </c>
      <c r="AG33" s="10">
        <v>3193.5208333333335</v>
      </c>
      <c r="AH33" s="10">
        <v>3193.5208333333335</v>
      </c>
      <c r="AI33" s="10">
        <v>3193.5208333333335</v>
      </c>
      <c r="AJ33" s="10">
        <v>3193.5208333333335</v>
      </c>
      <c r="AK33" s="10">
        <v>3193.5208333333335</v>
      </c>
      <c r="AL33" s="10">
        <v>3193.5208333333335</v>
      </c>
      <c r="AM33" s="10">
        <v>3193.5208333333335</v>
      </c>
      <c r="AN33" s="10">
        <v>3193.5208333333335</v>
      </c>
      <c r="AO33" s="10">
        <v>3193.5208333333335</v>
      </c>
      <c r="AP33" s="10">
        <v>3193.5208333333335</v>
      </c>
      <c r="AQ33" s="10">
        <v>3193.5208333333335</v>
      </c>
      <c r="AR33" s="10">
        <v>3193.5208333333335</v>
      </c>
      <c r="AS33" s="10">
        <v>3193.5208333333335</v>
      </c>
      <c r="AT33" s="10">
        <v>2159</v>
      </c>
      <c r="AU33" s="10">
        <v>2159</v>
      </c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</row>
    <row r="34" spans="14:70" x14ac:dyDescent="0.35">
      <c r="N34" s="10">
        <f t="shared" si="0"/>
        <v>958596</v>
      </c>
      <c r="O34">
        <v>65</v>
      </c>
      <c r="P34">
        <v>67</v>
      </c>
      <c r="Q34" t="b">
        <v>1</v>
      </c>
      <c r="R34" t="b">
        <v>1</v>
      </c>
      <c r="S34" s="10">
        <v>0</v>
      </c>
      <c r="T34" s="10">
        <v>0</v>
      </c>
      <c r="U34" s="10">
        <v>0</v>
      </c>
      <c r="V34" s="10">
        <v>2159</v>
      </c>
      <c r="W34" s="10">
        <v>2159</v>
      </c>
      <c r="X34" s="10">
        <v>3238.5</v>
      </c>
      <c r="Y34" s="10">
        <v>3238.5</v>
      </c>
      <c r="Z34" s="10">
        <v>3238.5</v>
      </c>
      <c r="AA34" s="10">
        <v>3238.5</v>
      </c>
      <c r="AB34" s="10">
        <v>3238.5</v>
      </c>
      <c r="AC34" s="10">
        <v>3238.5</v>
      </c>
      <c r="AD34" s="10">
        <v>3238.5</v>
      </c>
      <c r="AE34" s="10">
        <v>3238.5</v>
      </c>
      <c r="AF34" s="10">
        <v>3238.5</v>
      </c>
      <c r="AG34" s="10">
        <v>3238.5</v>
      </c>
      <c r="AH34" s="10">
        <v>3238.5</v>
      </c>
      <c r="AI34" s="10">
        <v>3238.5</v>
      </c>
      <c r="AJ34" s="10">
        <v>3238.5</v>
      </c>
      <c r="AK34" s="10">
        <v>3238.5</v>
      </c>
      <c r="AL34" s="10">
        <v>3238.5</v>
      </c>
      <c r="AM34" s="10">
        <v>3238.5</v>
      </c>
      <c r="AN34" s="10">
        <v>3238.5</v>
      </c>
      <c r="AO34" s="10">
        <v>3238.5</v>
      </c>
      <c r="AP34" s="10">
        <v>3238.5</v>
      </c>
      <c r="AQ34" s="10">
        <v>3238.5</v>
      </c>
      <c r="AR34" s="10">
        <v>3238.5</v>
      </c>
      <c r="AS34" s="10">
        <v>3238.5</v>
      </c>
      <c r="AT34" s="10">
        <v>2159</v>
      </c>
      <c r="AU34" s="10">
        <v>2159</v>
      </c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</row>
    <row r="35" spans="14:70" x14ac:dyDescent="0.35">
      <c r="N35" s="10">
        <f t="shared" si="0"/>
        <v>945642</v>
      </c>
      <c r="O35">
        <v>65</v>
      </c>
      <c r="P35">
        <v>68</v>
      </c>
      <c r="Q35" t="b">
        <v>1</v>
      </c>
      <c r="R35" t="b">
        <v>1</v>
      </c>
      <c r="S35" s="10">
        <v>0</v>
      </c>
      <c r="T35" s="10">
        <v>0</v>
      </c>
      <c r="U35" s="10">
        <v>0</v>
      </c>
      <c r="V35" s="10">
        <v>2159</v>
      </c>
      <c r="W35" s="10">
        <v>2159</v>
      </c>
      <c r="X35" s="10">
        <v>2159</v>
      </c>
      <c r="Y35" s="10">
        <v>3238.5</v>
      </c>
      <c r="Z35" s="10">
        <v>3238.5</v>
      </c>
      <c r="AA35" s="10">
        <v>3238.5</v>
      </c>
      <c r="AB35" s="10">
        <v>3238.5</v>
      </c>
      <c r="AC35" s="10">
        <v>3238.5</v>
      </c>
      <c r="AD35" s="10">
        <v>3238.5</v>
      </c>
      <c r="AE35" s="10">
        <v>3238.5</v>
      </c>
      <c r="AF35" s="10">
        <v>3238.5</v>
      </c>
      <c r="AG35" s="10">
        <v>3238.5</v>
      </c>
      <c r="AH35" s="10">
        <v>3238.5</v>
      </c>
      <c r="AI35" s="10">
        <v>3238.5</v>
      </c>
      <c r="AJ35" s="10">
        <v>3238.5</v>
      </c>
      <c r="AK35" s="10">
        <v>3238.5</v>
      </c>
      <c r="AL35" s="10">
        <v>3238.5</v>
      </c>
      <c r="AM35" s="10">
        <v>3238.5</v>
      </c>
      <c r="AN35" s="10">
        <v>3238.5</v>
      </c>
      <c r="AO35" s="10">
        <v>3238.5</v>
      </c>
      <c r="AP35" s="10">
        <v>3238.5</v>
      </c>
      <c r="AQ35" s="10">
        <v>3238.5</v>
      </c>
      <c r="AR35" s="10">
        <v>3238.5</v>
      </c>
      <c r="AS35" s="10">
        <v>3238.5</v>
      </c>
      <c r="AT35" s="10">
        <v>2159</v>
      </c>
      <c r="AU35" s="10">
        <v>2159</v>
      </c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</row>
    <row r="36" spans="14:70" x14ac:dyDescent="0.35">
      <c r="N36" s="10">
        <f t="shared" si="0"/>
        <v>932688</v>
      </c>
      <c r="O36">
        <v>65</v>
      </c>
      <c r="P36">
        <v>69</v>
      </c>
      <c r="Q36" t="b">
        <v>1</v>
      </c>
      <c r="R36" t="b">
        <v>1</v>
      </c>
      <c r="S36" s="10">
        <v>0</v>
      </c>
      <c r="T36" s="10">
        <v>0</v>
      </c>
      <c r="U36" s="10">
        <v>0</v>
      </c>
      <c r="V36" s="10">
        <v>2159</v>
      </c>
      <c r="W36" s="10">
        <v>2159</v>
      </c>
      <c r="X36" s="10">
        <v>2159</v>
      </c>
      <c r="Y36" s="10">
        <v>2159</v>
      </c>
      <c r="Z36" s="10">
        <v>3238.5</v>
      </c>
      <c r="AA36" s="10">
        <v>3238.5</v>
      </c>
      <c r="AB36" s="10">
        <v>3238.5</v>
      </c>
      <c r="AC36" s="10">
        <v>3238.5</v>
      </c>
      <c r="AD36" s="10">
        <v>3238.5</v>
      </c>
      <c r="AE36" s="10">
        <v>3238.5</v>
      </c>
      <c r="AF36" s="10">
        <v>3238.5</v>
      </c>
      <c r="AG36" s="10">
        <v>3238.5</v>
      </c>
      <c r="AH36" s="10">
        <v>3238.5</v>
      </c>
      <c r="AI36" s="10">
        <v>3238.5</v>
      </c>
      <c r="AJ36" s="10">
        <v>3238.5</v>
      </c>
      <c r="AK36" s="10">
        <v>3238.5</v>
      </c>
      <c r="AL36" s="10">
        <v>3238.5</v>
      </c>
      <c r="AM36" s="10">
        <v>3238.5</v>
      </c>
      <c r="AN36" s="10">
        <v>3238.5</v>
      </c>
      <c r="AO36" s="10">
        <v>3238.5</v>
      </c>
      <c r="AP36" s="10">
        <v>3238.5</v>
      </c>
      <c r="AQ36" s="10">
        <v>3238.5</v>
      </c>
      <c r="AR36" s="10">
        <v>3238.5</v>
      </c>
      <c r="AS36" s="10">
        <v>3238.5</v>
      </c>
      <c r="AT36" s="10">
        <v>2159</v>
      </c>
      <c r="AU36" s="10">
        <v>2159</v>
      </c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</row>
    <row r="37" spans="14:70" x14ac:dyDescent="0.35">
      <c r="N37" s="10">
        <f t="shared" si="0"/>
        <v>919734</v>
      </c>
      <c r="O37">
        <v>65</v>
      </c>
      <c r="P37">
        <v>70</v>
      </c>
      <c r="Q37" t="b">
        <v>1</v>
      </c>
      <c r="R37" t="b">
        <v>1</v>
      </c>
      <c r="S37" s="10">
        <v>0</v>
      </c>
      <c r="T37" s="10">
        <v>0</v>
      </c>
      <c r="U37" s="10">
        <v>0</v>
      </c>
      <c r="V37" s="10">
        <v>2159</v>
      </c>
      <c r="W37" s="10">
        <v>2159</v>
      </c>
      <c r="X37" s="10">
        <v>2159</v>
      </c>
      <c r="Y37" s="10">
        <v>2159</v>
      </c>
      <c r="Z37" s="10">
        <v>2159</v>
      </c>
      <c r="AA37" s="10">
        <v>3238.5</v>
      </c>
      <c r="AB37" s="10">
        <v>3238.5</v>
      </c>
      <c r="AC37" s="10">
        <v>3238.5</v>
      </c>
      <c r="AD37" s="10">
        <v>3238.5</v>
      </c>
      <c r="AE37" s="10">
        <v>3238.5</v>
      </c>
      <c r="AF37" s="10">
        <v>3238.5</v>
      </c>
      <c r="AG37" s="10">
        <v>3238.5</v>
      </c>
      <c r="AH37" s="10">
        <v>3238.5</v>
      </c>
      <c r="AI37" s="10">
        <v>3238.5</v>
      </c>
      <c r="AJ37" s="10">
        <v>3238.5</v>
      </c>
      <c r="AK37" s="10">
        <v>3238.5</v>
      </c>
      <c r="AL37" s="10">
        <v>3238.5</v>
      </c>
      <c r="AM37" s="10">
        <v>3238.5</v>
      </c>
      <c r="AN37" s="10">
        <v>3238.5</v>
      </c>
      <c r="AO37" s="10">
        <v>3238.5</v>
      </c>
      <c r="AP37" s="10">
        <v>3238.5</v>
      </c>
      <c r="AQ37" s="10">
        <v>3238.5</v>
      </c>
      <c r="AR37" s="10">
        <v>3238.5</v>
      </c>
      <c r="AS37" s="10">
        <v>3238.5</v>
      </c>
      <c r="AT37" s="10">
        <v>2159</v>
      </c>
      <c r="AU37" s="10">
        <v>2159</v>
      </c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</row>
    <row r="38" spans="14:70" x14ac:dyDescent="0.35">
      <c r="N38" s="10">
        <f t="shared" si="0"/>
        <v>882049.34999999986</v>
      </c>
      <c r="O38">
        <v>66</v>
      </c>
      <c r="P38">
        <v>62</v>
      </c>
      <c r="Q38" t="b">
        <v>1</v>
      </c>
      <c r="R38" t="b">
        <v>1</v>
      </c>
      <c r="S38" s="10">
        <v>0</v>
      </c>
      <c r="T38" s="10">
        <v>0</v>
      </c>
      <c r="U38" s="10">
        <v>0</v>
      </c>
      <c r="V38" s="10">
        <v>0</v>
      </c>
      <c r="W38" s="10">
        <v>2991.7874999999999</v>
      </c>
      <c r="X38" s="10">
        <v>2991.7874999999999</v>
      </c>
      <c r="Y38" s="10">
        <v>2991.7874999999999</v>
      </c>
      <c r="Z38" s="10">
        <v>2991.7874999999999</v>
      </c>
      <c r="AA38" s="10">
        <v>2991.7874999999999</v>
      </c>
      <c r="AB38" s="10">
        <v>2991.7874999999999</v>
      </c>
      <c r="AC38" s="10">
        <v>2991.7874999999999</v>
      </c>
      <c r="AD38" s="10">
        <v>2991.7874999999999</v>
      </c>
      <c r="AE38" s="10">
        <v>2991.7874999999999</v>
      </c>
      <c r="AF38" s="10">
        <v>2991.7874999999999</v>
      </c>
      <c r="AG38" s="10">
        <v>2991.7874999999999</v>
      </c>
      <c r="AH38" s="10">
        <v>2991.7874999999999</v>
      </c>
      <c r="AI38" s="10">
        <v>2991.7874999999999</v>
      </c>
      <c r="AJ38" s="10">
        <v>2991.7874999999999</v>
      </c>
      <c r="AK38" s="10">
        <v>2991.7874999999999</v>
      </c>
      <c r="AL38" s="10">
        <v>2991.7874999999999</v>
      </c>
      <c r="AM38" s="10">
        <v>2991.7874999999999</v>
      </c>
      <c r="AN38" s="10">
        <v>2991.7874999999999</v>
      </c>
      <c r="AO38" s="10">
        <v>2991.7874999999999</v>
      </c>
      <c r="AP38" s="10">
        <v>2991.7874999999999</v>
      </c>
      <c r="AQ38" s="10">
        <v>2991.7874999999999</v>
      </c>
      <c r="AR38" s="10">
        <v>2991.7874999999999</v>
      </c>
      <c r="AS38" s="10">
        <v>2991.7874999999999</v>
      </c>
      <c r="AT38" s="10">
        <v>2346.5</v>
      </c>
      <c r="AU38" s="10">
        <v>2346.5</v>
      </c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</row>
    <row r="39" spans="14:70" x14ac:dyDescent="0.35">
      <c r="N39" s="10">
        <f t="shared" si="0"/>
        <v>925224.95000000019</v>
      </c>
      <c r="O39">
        <v>66</v>
      </c>
      <c r="P39">
        <v>63</v>
      </c>
      <c r="Q39" t="b">
        <v>1</v>
      </c>
      <c r="R39" t="b">
        <v>1</v>
      </c>
      <c r="S39" s="10">
        <v>0</v>
      </c>
      <c r="T39" s="10">
        <v>0</v>
      </c>
      <c r="U39" s="10">
        <v>0</v>
      </c>
      <c r="V39" s="10">
        <v>0</v>
      </c>
      <c r="W39" s="10">
        <v>3148.2208333333333</v>
      </c>
      <c r="X39" s="10">
        <v>3148.2208333333333</v>
      </c>
      <c r="Y39" s="10">
        <v>3148.2208333333333</v>
      </c>
      <c r="Z39" s="10">
        <v>3148.2208333333333</v>
      </c>
      <c r="AA39" s="10">
        <v>3148.2208333333333</v>
      </c>
      <c r="AB39" s="10">
        <v>3148.2208333333333</v>
      </c>
      <c r="AC39" s="10">
        <v>3148.2208333333333</v>
      </c>
      <c r="AD39" s="10">
        <v>3148.2208333333333</v>
      </c>
      <c r="AE39" s="10">
        <v>3148.2208333333333</v>
      </c>
      <c r="AF39" s="10">
        <v>3148.2208333333333</v>
      </c>
      <c r="AG39" s="10">
        <v>3148.2208333333333</v>
      </c>
      <c r="AH39" s="10">
        <v>3148.2208333333333</v>
      </c>
      <c r="AI39" s="10">
        <v>3148.2208333333333</v>
      </c>
      <c r="AJ39" s="10">
        <v>3148.2208333333333</v>
      </c>
      <c r="AK39" s="10">
        <v>3148.2208333333333</v>
      </c>
      <c r="AL39" s="10">
        <v>3148.2208333333333</v>
      </c>
      <c r="AM39" s="10">
        <v>3148.2208333333333</v>
      </c>
      <c r="AN39" s="10">
        <v>3148.2208333333333</v>
      </c>
      <c r="AO39" s="10">
        <v>3148.2208333333333</v>
      </c>
      <c r="AP39" s="10">
        <v>3148.2208333333333</v>
      </c>
      <c r="AQ39" s="10">
        <v>3148.2208333333333</v>
      </c>
      <c r="AR39" s="10">
        <v>3148.2208333333333</v>
      </c>
      <c r="AS39" s="10">
        <v>3148.2208333333333</v>
      </c>
      <c r="AT39" s="10">
        <v>2346.5</v>
      </c>
      <c r="AU39" s="10">
        <v>2346.5</v>
      </c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</row>
    <row r="40" spans="14:70" x14ac:dyDescent="0.35">
      <c r="N40" s="10">
        <f t="shared" si="0"/>
        <v>960305.125</v>
      </c>
      <c r="O40">
        <v>66</v>
      </c>
      <c r="P40">
        <v>64</v>
      </c>
      <c r="Q40" t="b">
        <v>1</v>
      </c>
      <c r="R40" t="b">
        <v>1</v>
      </c>
      <c r="S40" s="10">
        <v>0</v>
      </c>
      <c r="T40" s="10">
        <v>0</v>
      </c>
      <c r="U40" s="10">
        <v>0</v>
      </c>
      <c r="V40" s="10">
        <v>0</v>
      </c>
      <c r="W40" s="10">
        <v>3275.322916666667</v>
      </c>
      <c r="X40" s="10">
        <v>3275.322916666667</v>
      </c>
      <c r="Y40" s="10">
        <v>3275.322916666667</v>
      </c>
      <c r="Z40" s="10">
        <v>3275.322916666667</v>
      </c>
      <c r="AA40" s="10">
        <v>3275.322916666667</v>
      </c>
      <c r="AB40" s="10">
        <v>3275.322916666667</v>
      </c>
      <c r="AC40" s="10">
        <v>3275.322916666667</v>
      </c>
      <c r="AD40" s="10">
        <v>3275.322916666667</v>
      </c>
      <c r="AE40" s="10">
        <v>3275.322916666667</v>
      </c>
      <c r="AF40" s="10">
        <v>3275.322916666667</v>
      </c>
      <c r="AG40" s="10">
        <v>3275.322916666667</v>
      </c>
      <c r="AH40" s="10">
        <v>3275.322916666667</v>
      </c>
      <c r="AI40" s="10">
        <v>3275.322916666667</v>
      </c>
      <c r="AJ40" s="10">
        <v>3275.322916666667</v>
      </c>
      <c r="AK40" s="10">
        <v>3275.322916666667</v>
      </c>
      <c r="AL40" s="10">
        <v>3275.322916666667</v>
      </c>
      <c r="AM40" s="10">
        <v>3275.322916666667</v>
      </c>
      <c r="AN40" s="10">
        <v>3275.322916666667</v>
      </c>
      <c r="AO40" s="10">
        <v>3275.322916666667</v>
      </c>
      <c r="AP40" s="10">
        <v>3275.322916666667</v>
      </c>
      <c r="AQ40" s="10">
        <v>3275.322916666667</v>
      </c>
      <c r="AR40" s="10">
        <v>3275.322916666667</v>
      </c>
      <c r="AS40" s="10">
        <v>3275.322916666667</v>
      </c>
      <c r="AT40" s="10">
        <v>2346.5</v>
      </c>
      <c r="AU40" s="10">
        <v>2346.5</v>
      </c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</row>
    <row r="41" spans="14:70" x14ac:dyDescent="0.35">
      <c r="N41" s="10">
        <f t="shared" si="0"/>
        <v>987289.875</v>
      </c>
      <c r="O41">
        <v>66</v>
      </c>
      <c r="P41">
        <v>65</v>
      </c>
      <c r="Q41" t="b">
        <v>1</v>
      </c>
      <c r="R41" t="b">
        <v>1</v>
      </c>
      <c r="S41" s="10">
        <v>0</v>
      </c>
      <c r="T41" s="10">
        <v>0</v>
      </c>
      <c r="U41" s="10">
        <v>0</v>
      </c>
      <c r="V41" s="10">
        <v>0</v>
      </c>
      <c r="W41" s="10">
        <v>3373.09375</v>
      </c>
      <c r="X41" s="10">
        <v>3373.09375</v>
      </c>
      <c r="Y41" s="10">
        <v>3373.09375</v>
      </c>
      <c r="Z41" s="10">
        <v>3373.09375</v>
      </c>
      <c r="AA41" s="10">
        <v>3373.09375</v>
      </c>
      <c r="AB41" s="10">
        <v>3373.09375</v>
      </c>
      <c r="AC41" s="10">
        <v>3373.09375</v>
      </c>
      <c r="AD41" s="10">
        <v>3373.09375</v>
      </c>
      <c r="AE41" s="10">
        <v>3373.09375</v>
      </c>
      <c r="AF41" s="10">
        <v>3373.09375</v>
      </c>
      <c r="AG41" s="10">
        <v>3373.09375</v>
      </c>
      <c r="AH41" s="10">
        <v>3373.09375</v>
      </c>
      <c r="AI41" s="10">
        <v>3373.09375</v>
      </c>
      <c r="AJ41" s="10">
        <v>3373.09375</v>
      </c>
      <c r="AK41" s="10">
        <v>3373.09375</v>
      </c>
      <c r="AL41" s="10">
        <v>3373.09375</v>
      </c>
      <c r="AM41" s="10">
        <v>3373.09375</v>
      </c>
      <c r="AN41" s="10">
        <v>3373.09375</v>
      </c>
      <c r="AO41" s="10">
        <v>3373.09375</v>
      </c>
      <c r="AP41" s="10">
        <v>3373.09375</v>
      </c>
      <c r="AQ41" s="10">
        <v>3373.09375</v>
      </c>
      <c r="AR41" s="10">
        <v>3373.09375</v>
      </c>
      <c r="AS41" s="10">
        <v>3373.09375</v>
      </c>
      <c r="AT41" s="10">
        <v>2346.5</v>
      </c>
      <c r="AU41" s="10">
        <v>2346.5</v>
      </c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</row>
    <row r="42" spans="14:70" x14ac:dyDescent="0.35">
      <c r="N42" s="10">
        <f t="shared" si="0"/>
        <v>1014274.6249999999</v>
      </c>
      <c r="O42">
        <v>66</v>
      </c>
      <c r="P42">
        <v>66</v>
      </c>
      <c r="Q42" t="b">
        <v>1</v>
      </c>
      <c r="R42" t="b">
        <v>1</v>
      </c>
      <c r="S42" s="10">
        <v>0</v>
      </c>
      <c r="T42" s="10">
        <v>0</v>
      </c>
      <c r="U42" s="10">
        <v>0</v>
      </c>
      <c r="V42" s="10">
        <v>0</v>
      </c>
      <c r="W42" s="10">
        <v>3470.8645833333335</v>
      </c>
      <c r="X42" s="10">
        <v>3470.8645833333335</v>
      </c>
      <c r="Y42" s="10">
        <v>3470.8645833333335</v>
      </c>
      <c r="Z42" s="10">
        <v>3470.8645833333335</v>
      </c>
      <c r="AA42" s="10">
        <v>3470.8645833333335</v>
      </c>
      <c r="AB42" s="10">
        <v>3470.8645833333335</v>
      </c>
      <c r="AC42" s="10">
        <v>3470.8645833333335</v>
      </c>
      <c r="AD42" s="10">
        <v>3470.8645833333335</v>
      </c>
      <c r="AE42" s="10">
        <v>3470.8645833333335</v>
      </c>
      <c r="AF42" s="10">
        <v>3470.8645833333335</v>
      </c>
      <c r="AG42" s="10">
        <v>3470.8645833333335</v>
      </c>
      <c r="AH42" s="10">
        <v>3470.8645833333335</v>
      </c>
      <c r="AI42" s="10">
        <v>3470.8645833333335</v>
      </c>
      <c r="AJ42" s="10">
        <v>3470.8645833333335</v>
      </c>
      <c r="AK42" s="10">
        <v>3470.8645833333335</v>
      </c>
      <c r="AL42" s="10">
        <v>3470.8645833333335</v>
      </c>
      <c r="AM42" s="10">
        <v>3470.8645833333335</v>
      </c>
      <c r="AN42" s="10">
        <v>3470.8645833333335</v>
      </c>
      <c r="AO42" s="10">
        <v>3470.8645833333335</v>
      </c>
      <c r="AP42" s="10">
        <v>3470.8645833333335</v>
      </c>
      <c r="AQ42" s="10">
        <v>3470.8645833333335</v>
      </c>
      <c r="AR42" s="10">
        <v>3470.8645833333335</v>
      </c>
      <c r="AS42" s="10">
        <v>3470.8645833333335</v>
      </c>
      <c r="AT42" s="10">
        <v>2346.5</v>
      </c>
      <c r="AU42" s="10">
        <v>2346.5</v>
      </c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</row>
    <row r="43" spans="14:70" x14ac:dyDescent="0.35">
      <c r="N43" s="10">
        <f t="shared" si="0"/>
        <v>1013688</v>
      </c>
      <c r="O43">
        <v>66</v>
      </c>
      <c r="P43">
        <v>67</v>
      </c>
      <c r="Q43" t="b">
        <v>1</v>
      </c>
      <c r="R43" t="b">
        <v>1</v>
      </c>
      <c r="S43" s="10">
        <v>0</v>
      </c>
      <c r="T43" s="10">
        <v>0</v>
      </c>
      <c r="U43" s="10">
        <v>0</v>
      </c>
      <c r="V43" s="10">
        <v>0</v>
      </c>
      <c r="W43" s="10">
        <v>2346.5</v>
      </c>
      <c r="X43" s="10">
        <v>3519.75</v>
      </c>
      <c r="Y43" s="10">
        <v>3519.75</v>
      </c>
      <c r="Z43" s="10">
        <v>3519.75</v>
      </c>
      <c r="AA43" s="10">
        <v>3519.75</v>
      </c>
      <c r="AB43" s="10">
        <v>3519.75</v>
      </c>
      <c r="AC43" s="10">
        <v>3519.75</v>
      </c>
      <c r="AD43" s="10">
        <v>3519.75</v>
      </c>
      <c r="AE43" s="10">
        <v>3519.75</v>
      </c>
      <c r="AF43" s="10">
        <v>3519.75</v>
      </c>
      <c r="AG43" s="10">
        <v>3519.75</v>
      </c>
      <c r="AH43" s="10">
        <v>3519.75</v>
      </c>
      <c r="AI43" s="10">
        <v>3519.75</v>
      </c>
      <c r="AJ43" s="10">
        <v>3519.75</v>
      </c>
      <c r="AK43" s="10">
        <v>3519.75</v>
      </c>
      <c r="AL43" s="10">
        <v>3519.75</v>
      </c>
      <c r="AM43" s="10">
        <v>3519.75</v>
      </c>
      <c r="AN43" s="10">
        <v>3519.75</v>
      </c>
      <c r="AO43" s="10">
        <v>3519.75</v>
      </c>
      <c r="AP43" s="10">
        <v>3519.75</v>
      </c>
      <c r="AQ43" s="10">
        <v>3519.75</v>
      </c>
      <c r="AR43" s="10">
        <v>3519.75</v>
      </c>
      <c r="AS43" s="10">
        <v>3519.75</v>
      </c>
      <c r="AT43" s="10">
        <v>2346.5</v>
      </c>
      <c r="AU43" s="10">
        <v>2346.5</v>
      </c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</row>
    <row r="44" spans="14:70" x14ac:dyDescent="0.35">
      <c r="N44" s="10">
        <f t="shared" si="0"/>
        <v>999609</v>
      </c>
      <c r="O44">
        <v>66</v>
      </c>
      <c r="P44">
        <v>68</v>
      </c>
      <c r="Q44" t="b">
        <v>1</v>
      </c>
      <c r="R44" t="b">
        <v>1</v>
      </c>
      <c r="S44" s="10">
        <v>0</v>
      </c>
      <c r="T44" s="10">
        <v>0</v>
      </c>
      <c r="U44" s="10">
        <v>0</v>
      </c>
      <c r="V44" s="10">
        <v>0</v>
      </c>
      <c r="W44" s="10">
        <v>2346.5</v>
      </c>
      <c r="X44" s="10">
        <v>2346.5</v>
      </c>
      <c r="Y44" s="10">
        <v>3519.75</v>
      </c>
      <c r="Z44" s="10">
        <v>3519.75</v>
      </c>
      <c r="AA44" s="10">
        <v>3519.75</v>
      </c>
      <c r="AB44" s="10">
        <v>3519.75</v>
      </c>
      <c r="AC44" s="10">
        <v>3519.75</v>
      </c>
      <c r="AD44" s="10">
        <v>3519.75</v>
      </c>
      <c r="AE44" s="10">
        <v>3519.75</v>
      </c>
      <c r="AF44" s="10">
        <v>3519.75</v>
      </c>
      <c r="AG44" s="10">
        <v>3519.75</v>
      </c>
      <c r="AH44" s="10">
        <v>3519.75</v>
      </c>
      <c r="AI44" s="10">
        <v>3519.75</v>
      </c>
      <c r="AJ44" s="10">
        <v>3519.75</v>
      </c>
      <c r="AK44" s="10">
        <v>3519.75</v>
      </c>
      <c r="AL44" s="10">
        <v>3519.75</v>
      </c>
      <c r="AM44" s="10">
        <v>3519.75</v>
      </c>
      <c r="AN44" s="10">
        <v>3519.75</v>
      </c>
      <c r="AO44" s="10">
        <v>3519.75</v>
      </c>
      <c r="AP44" s="10">
        <v>3519.75</v>
      </c>
      <c r="AQ44" s="10">
        <v>3519.75</v>
      </c>
      <c r="AR44" s="10">
        <v>3519.75</v>
      </c>
      <c r="AS44" s="10">
        <v>3519.75</v>
      </c>
      <c r="AT44" s="10">
        <v>2346.5</v>
      </c>
      <c r="AU44" s="10">
        <v>2346.5</v>
      </c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</row>
    <row r="45" spans="14:70" x14ac:dyDescent="0.35">
      <c r="N45" s="10">
        <f t="shared" si="0"/>
        <v>985530</v>
      </c>
      <c r="O45">
        <v>66</v>
      </c>
      <c r="P45">
        <v>69</v>
      </c>
      <c r="Q45" t="b">
        <v>1</v>
      </c>
      <c r="R45" t="b">
        <v>1</v>
      </c>
      <c r="S45" s="10">
        <v>0</v>
      </c>
      <c r="T45" s="10">
        <v>0</v>
      </c>
      <c r="U45" s="10">
        <v>0</v>
      </c>
      <c r="V45" s="10">
        <v>0</v>
      </c>
      <c r="W45" s="10">
        <v>2346.5</v>
      </c>
      <c r="X45" s="10">
        <v>2346.5</v>
      </c>
      <c r="Y45" s="10">
        <v>2346.5</v>
      </c>
      <c r="Z45" s="10">
        <v>3519.75</v>
      </c>
      <c r="AA45" s="10">
        <v>3519.75</v>
      </c>
      <c r="AB45" s="10">
        <v>3519.75</v>
      </c>
      <c r="AC45" s="10">
        <v>3519.75</v>
      </c>
      <c r="AD45" s="10">
        <v>3519.75</v>
      </c>
      <c r="AE45" s="10">
        <v>3519.75</v>
      </c>
      <c r="AF45" s="10">
        <v>3519.75</v>
      </c>
      <c r="AG45" s="10">
        <v>3519.75</v>
      </c>
      <c r="AH45" s="10">
        <v>3519.75</v>
      </c>
      <c r="AI45" s="10">
        <v>3519.75</v>
      </c>
      <c r="AJ45" s="10">
        <v>3519.75</v>
      </c>
      <c r="AK45" s="10">
        <v>3519.75</v>
      </c>
      <c r="AL45" s="10">
        <v>3519.75</v>
      </c>
      <c r="AM45" s="10">
        <v>3519.75</v>
      </c>
      <c r="AN45" s="10">
        <v>3519.75</v>
      </c>
      <c r="AO45" s="10">
        <v>3519.75</v>
      </c>
      <c r="AP45" s="10">
        <v>3519.75</v>
      </c>
      <c r="AQ45" s="10">
        <v>3519.75</v>
      </c>
      <c r="AR45" s="10">
        <v>3519.75</v>
      </c>
      <c r="AS45" s="10">
        <v>3519.75</v>
      </c>
      <c r="AT45" s="10">
        <v>2346.5</v>
      </c>
      <c r="AU45" s="10">
        <v>2346.5</v>
      </c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</row>
    <row r="46" spans="14:70" x14ac:dyDescent="0.35">
      <c r="N46" s="10">
        <f t="shared" si="0"/>
        <v>971451</v>
      </c>
      <c r="O46">
        <v>66</v>
      </c>
      <c r="P46">
        <v>70</v>
      </c>
      <c r="Q46" t="b">
        <v>1</v>
      </c>
      <c r="R46" t="b">
        <v>1</v>
      </c>
      <c r="S46" s="10">
        <v>0</v>
      </c>
      <c r="T46" s="10">
        <v>0</v>
      </c>
      <c r="U46" s="10">
        <v>0</v>
      </c>
      <c r="V46" s="10">
        <v>0</v>
      </c>
      <c r="W46" s="10">
        <v>2346.5</v>
      </c>
      <c r="X46" s="10">
        <v>2346.5</v>
      </c>
      <c r="Y46" s="10">
        <v>2346.5</v>
      </c>
      <c r="Z46" s="10">
        <v>2346.5</v>
      </c>
      <c r="AA46" s="10">
        <v>3519.75</v>
      </c>
      <c r="AB46" s="10">
        <v>3519.75</v>
      </c>
      <c r="AC46" s="10">
        <v>3519.75</v>
      </c>
      <c r="AD46" s="10">
        <v>3519.75</v>
      </c>
      <c r="AE46" s="10">
        <v>3519.75</v>
      </c>
      <c r="AF46" s="10">
        <v>3519.75</v>
      </c>
      <c r="AG46" s="10">
        <v>3519.75</v>
      </c>
      <c r="AH46" s="10">
        <v>3519.75</v>
      </c>
      <c r="AI46" s="10">
        <v>3519.75</v>
      </c>
      <c r="AJ46" s="10">
        <v>3519.75</v>
      </c>
      <c r="AK46" s="10">
        <v>3519.75</v>
      </c>
      <c r="AL46" s="10">
        <v>3519.75</v>
      </c>
      <c r="AM46" s="10">
        <v>3519.75</v>
      </c>
      <c r="AN46" s="10">
        <v>3519.75</v>
      </c>
      <c r="AO46" s="10">
        <v>3519.75</v>
      </c>
      <c r="AP46" s="10">
        <v>3519.75</v>
      </c>
      <c r="AQ46" s="10">
        <v>3519.75</v>
      </c>
      <c r="AR46" s="10">
        <v>3519.75</v>
      </c>
      <c r="AS46" s="10">
        <v>3519.75</v>
      </c>
      <c r="AT46" s="10">
        <v>2346.5</v>
      </c>
      <c r="AU46" s="10">
        <v>2346.5</v>
      </c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</row>
    <row r="47" spans="14:70" x14ac:dyDescent="0.35">
      <c r="N47" s="10">
        <f t="shared" si="0"/>
        <v>913760.39999999979</v>
      </c>
      <c r="O47">
        <v>67</v>
      </c>
      <c r="P47">
        <v>62</v>
      </c>
      <c r="Q47" t="b">
        <v>1</v>
      </c>
      <c r="R47" t="b">
        <v>1</v>
      </c>
      <c r="S47" s="10">
        <v>0</v>
      </c>
      <c r="T47" s="10">
        <v>0</v>
      </c>
      <c r="U47" s="10">
        <v>0</v>
      </c>
      <c r="V47" s="10">
        <v>0</v>
      </c>
      <c r="W47" s="10">
        <v>0</v>
      </c>
      <c r="X47" s="10">
        <v>3230.85</v>
      </c>
      <c r="Y47" s="10">
        <v>3230.85</v>
      </c>
      <c r="Z47" s="10">
        <v>3230.85</v>
      </c>
      <c r="AA47" s="10">
        <v>3230.85</v>
      </c>
      <c r="AB47" s="10">
        <v>3230.85</v>
      </c>
      <c r="AC47" s="10">
        <v>3230.85</v>
      </c>
      <c r="AD47" s="10">
        <v>3230.85</v>
      </c>
      <c r="AE47" s="10">
        <v>3230.85</v>
      </c>
      <c r="AF47" s="10">
        <v>3230.85</v>
      </c>
      <c r="AG47" s="10">
        <v>3230.85</v>
      </c>
      <c r="AH47" s="10">
        <v>3230.85</v>
      </c>
      <c r="AI47" s="10">
        <v>3230.85</v>
      </c>
      <c r="AJ47" s="10">
        <v>3230.85</v>
      </c>
      <c r="AK47" s="10">
        <v>3230.85</v>
      </c>
      <c r="AL47" s="10">
        <v>3230.85</v>
      </c>
      <c r="AM47" s="10">
        <v>3230.85</v>
      </c>
      <c r="AN47" s="10">
        <v>3230.85</v>
      </c>
      <c r="AO47" s="10">
        <v>3230.85</v>
      </c>
      <c r="AP47" s="10">
        <v>3230.85</v>
      </c>
      <c r="AQ47" s="10">
        <v>3230.85</v>
      </c>
      <c r="AR47" s="10">
        <v>3230.85</v>
      </c>
      <c r="AS47" s="10">
        <v>3230.85</v>
      </c>
      <c r="AT47" s="10">
        <v>2534</v>
      </c>
      <c r="AU47" s="10">
        <v>2534</v>
      </c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</row>
    <row r="48" spans="14:70" x14ac:dyDescent="0.35">
      <c r="N48" s="10">
        <f t="shared" si="0"/>
        <v>958358.80000000028</v>
      </c>
      <c r="O48">
        <v>67</v>
      </c>
      <c r="P48">
        <v>63</v>
      </c>
      <c r="Q48" t="b">
        <v>1</v>
      </c>
      <c r="R48" t="b">
        <v>1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3399.7833333333333</v>
      </c>
      <c r="Y48" s="10">
        <v>3399.7833333333333</v>
      </c>
      <c r="Z48" s="10">
        <v>3399.7833333333333</v>
      </c>
      <c r="AA48" s="10">
        <v>3399.7833333333333</v>
      </c>
      <c r="AB48" s="10">
        <v>3399.7833333333333</v>
      </c>
      <c r="AC48" s="10">
        <v>3399.7833333333333</v>
      </c>
      <c r="AD48" s="10">
        <v>3399.7833333333333</v>
      </c>
      <c r="AE48" s="10">
        <v>3399.7833333333333</v>
      </c>
      <c r="AF48" s="10">
        <v>3399.7833333333333</v>
      </c>
      <c r="AG48" s="10">
        <v>3399.7833333333333</v>
      </c>
      <c r="AH48" s="10">
        <v>3399.7833333333333</v>
      </c>
      <c r="AI48" s="10">
        <v>3399.7833333333333</v>
      </c>
      <c r="AJ48" s="10">
        <v>3399.7833333333333</v>
      </c>
      <c r="AK48" s="10">
        <v>3399.7833333333333</v>
      </c>
      <c r="AL48" s="10">
        <v>3399.7833333333333</v>
      </c>
      <c r="AM48" s="10">
        <v>3399.7833333333333</v>
      </c>
      <c r="AN48" s="10">
        <v>3399.7833333333333</v>
      </c>
      <c r="AO48" s="10">
        <v>3399.7833333333333</v>
      </c>
      <c r="AP48" s="10">
        <v>3399.7833333333333</v>
      </c>
      <c r="AQ48" s="10">
        <v>3399.7833333333333</v>
      </c>
      <c r="AR48" s="10">
        <v>3399.7833333333333</v>
      </c>
      <c r="AS48" s="10">
        <v>3399.7833333333333</v>
      </c>
      <c r="AT48" s="10">
        <v>2534</v>
      </c>
      <c r="AU48" s="10">
        <v>2534</v>
      </c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</row>
    <row r="49" spans="14:70" x14ac:dyDescent="0.35">
      <c r="N49" s="10">
        <f t="shared" si="0"/>
        <v>994595</v>
      </c>
      <c r="O49">
        <v>67</v>
      </c>
      <c r="P49">
        <v>64</v>
      </c>
      <c r="Q49" t="b">
        <v>1</v>
      </c>
      <c r="R49" t="b">
        <v>1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10">
        <v>3537.041666666667</v>
      </c>
      <c r="Y49" s="10">
        <v>3537.041666666667</v>
      </c>
      <c r="Z49" s="10">
        <v>3537.041666666667</v>
      </c>
      <c r="AA49" s="10">
        <v>3537.041666666667</v>
      </c>
      <c r="AB49" s="10">
        <v>3537.041666666667</v>
      </c>
      <c r="AC49" s="10">
        <v>3537.041666666667</v>
      </c>
      <c r="AD49" s="10">
        <v>3537.041666666667</v>
      </c>
      <c r="AE49" s="10">
        <v>3537.041666666667</v>
      </c>
      <c r="AF49" s="10">
        <v>3537.041666666667</v>
      </c>
      <c r="AG49" s="10">
        <v>3537.041666666667</v>
      </c>
      <c r="AH49" s="10">
        <v>3537.041666666667</v>
      </c>
      <c r="AI49" s="10">
        <v>3537.041666666667</v>
      </c>
      <c r="AJ49" s="10">
        <v>3537.041666666667</v>
      </c>
      <c r="AK49" s="10">
        <v>3537.041666666667</v>
      </c>
      <c r="AL49" s="10">
        <v>3537.041666666667</v>
      </c>
      <c r="AM49" s="10">
        <v>3537.041666666667</v>
      </c>
      <c r="AN49" s="10">
        <v>3537.041666666667</v>
      </c>
      <c r="AO49" s="10">
        <v>3537.041666666667</v>
      </c>
      <c r="AP49" s="10">
        <v>3537.041666666667</v>
      </c>
      <c r="AQ49" s="10">
        <v>3537.041666666667</v>
      </c>
      <c r="AR49" s="10">
        <v>3537.041666666667</v>
      </c>
      <c r="AS49" s="10">
        <v>3537.041666666667</v>
      </c>
      <c r="AT49" s="10">
        <v>2534</v>
      </c>
      <c r="AU49" s="10">
        <v>2534</v>
      </c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</row>
    <row r="50" spans="14:70" x14ac:dyDescent="0.35">
      <c r="N50" s="10">
        <f t="shared" si="0"/>
        <v>1022469</v>
      </c>
      <c r="O50">
        <v>67</v>
      </c>
      <c r="P50">
        <v>65</v>
      </c>
      <c r="Q50" t="b">
        <v>1</v>
      </c>
      <c r="R50" t="b">
        <v>1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10">
        <v>3642.625</v>
      </c>
      <c r="Y50" s="10">
        <v>3642.625</v>
      </c>
      <c r="Z50" s="10">
        <v>3642.625</v>
      </c>
      <c r="AA50" s="10">
        <v>3642.625</v>
      </c>
      <c r="AB50" s="10">
        <v>3642.625</v>
      </c>
      <c r="AC50" s="10">
        <v>3642.625</v>
      </c>
      <c r="AD50" s="10">
        <v>3642.625</v>
      </c>
      <c r="AE50" s="10">
        <v>3642.625</v>
      </c>
      <c r="AF50" s="10">
        <v>3642.625</v>
      </c>
      <c r="AG50" s="10">
        <v>3642.625</v>
      </c>
      <c r="AH50" s="10">
        <v>3642.625</v>
      </c>
      <c r="AI50" s="10">
        <v>3642.625</v>
      </c>
      <c r="AJ50" s="10">
        <v>3642.625</v>
      </c>
      <c r="AK50" s="10">
        <v>3642.625</v>
      </c>
      <c r="AL50" s="10">
        <v>3642.625</v>
      </c>
      <c r="AM50" s="10">
        <v>3642.625</v>
      </c>
      <c r="AN50" s="10">
        <v>3642.625</v>
      </c>
      <c r="AO50" s="10">
        <v>3642.625</v>
      </c>
      <c r="AP50" s="10">
        <v>3642.625</v>
      </c>
      <c r="AQ50" s="10">
        <v>3642.625</v>
      </c>
      <c r="AR50" s="10">
        <v>3642.625</v>
      </c>
      <c r="AS50" s="10">
        <v>3642.625</v>
      </c>
      <c r="AT50" s="10">
        <v>2534</v>
      </c>
      <c r="AU50" s="10">
        <v>2534</v>
      </c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</row>
    <row r="51" spans="14:70" x14ac:dyDescent="0.35">
      <c r="N51" s="10">
        <f t="shared" si="0"/>
        <v>1050343</v>
      </c>
      <c r="O51">
        <v>67</v>
      </c>
      <c r="P51">
        <v>66</v>
      </c>
      <c r="Q51" t="b">
        <v>1</v>
      </c>
      <c r="R51" t="b">
        <v>1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3748.2083333333335</v>
      </c>
      <c r="Y51" s="10">
        <v>3748.2083333333335</v>
      </c>
      <c r="Z51" s="10">
        <v>3748.2083333333335</v>
      </c>
      <c r="AA51" s="10">
        <v>3748.2083333333335</v>
      </c>
      <c r="AB51" s="10">
        <v>3748.2083333333335</v>
      </c>
      <c r="AC51" s="10">
        <v>3748.2083333333335</v>
      </c>
      <c r="AD51" s="10">
        <v>3748.2083333333335</v>
      </c>
      <c r="AE51" s="10">
        <v>3748.2083333333335</v>
      </c>
      <c r="AF51" s="10">
        <v>3748.2083333333335</v>
      </c>
      <c r="AG51" s="10">
        <v>3748.2083333333335</v>
      </c>
      <c r="AH51" s="10">
        <v>3748.2083333333335</v>
      </c>
      <c r="AI51" s="10">
        <v>3748.2083333333335</v>
      </c>
      <c r="AJ51" s="10">
        <v>3748.2083333333335</v>
      </c>
      <c r="AK51" s="10">
        <v>3748.2083333333335</v>
      </c>
      <c r="AL51" s="10">
        <v>3748.2083333333335</v>
      </c>
      <c r="AM51" s="10">
        <v>3748.2083333333335</v>
      </c>
      <c r="AN51" s="10">
        <v>3748.2083333333335</v>
      </c>
      <c r="AO51" s="10">
        <v>3748.2083333333335</v>
      </c>
      <c r="AP51" s="10">
        <v>3748.2083333333335</v>
      </c>
      <c r="AQ51" s="10">
        <v>3748.2083333333335</v>
      </c>
      <c r="AR51" s="10">
        <v>3748.2083333333335</v>
      </c>
      <c r="AS51" s="10">
        <v>3748.2083333333335</v>
      </c>
      <c r="AT51" s="10">
        <v>2534</v>
      </c>
      <c r="AU51" s="10">
        <v>2534</v>
      </c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</row>
    <row r="52" spans="14:70" x14ac:dyDescent="0.35">
      <c r="N52" s="10">
        <f t="shared" si="0"/>
        <v>1064280</v>
      </c>
      <c r="O52">
        <v>67</v>
      </c>
      <c r="P52">
        <v>67</v>
      </c>
      <c r="Q52" t="b">
        <v>1</v>
      </c>
      <c r="R52" t="b">
        <v>1</v>
      </c>
      <c r="S52" s="10">
        <v>0</v>
      </c>
      <c r="T52" s="10">
        <v>0</v>
      </c>
      <c r="U52" s="10">
        <v>0</v>
      </c>
      <c r="V52" s="10">
        <v>0</v>
      </c>
      <c r="W52" s="10">
        <v>0</v>
      </c>
      <c r="X52" s="10">
        <v>3801</v>
      </c>
      <c r="Y52" s="10">
        <v>3801</v>
      </c>
      <c r="Z52" s="10">
        <v>3801</v>
      </c>
      <c r="AA52" s="10">
        <v>3801</v>
      </c>
      <c r="AB52" s="10">
        <v>3801</v>
      </c>
      <c r="AC52" s="10">
        <v>3801</v>
      </c>
      <c r="AD52" s="10">
        <v>3801</v>
      </c>
      <c r="AE52" s="10">
        <v>3801</v>
      </c>
      <c r="AF52" s="10">
        <v>3801</v>
      </c>
      <c r="AG52" s="10">
        <v>3801</v>
      </c>
      <c r="AH52" s="10">
        <v>3801</v>
      </c>
      <c r="AI52" s="10">
        <v>3801</v>
      </c>
      <c r="AJ52" s="10">
        <v>3801</v>
      </c>
      <c r="AK52" s="10">
        <v>3801</v>
      </c>
      <c r="AL52" s="10">
        <v>3801</v>
      </c>
      <c r="AM52" s="10">
        <v>3801</v>
      </c>
      <c r="AN52" s="10">
        <v>3801</v>
      </c>
      <c r="AO52" s="10">
        <v>3801</v>
      </c>
      <c r="AP52" s="10">
        <v>3801</v>
      </c>
      <c r="AQ52" s="10">
        <v>3801</v>
      </c>
      <c r="AR52" s="10">
        <v>3801</v>
      </c>
      <c r="AS52" s="10">
        <v>3801</v>
      </c>
      <c r="AT52" s="10">
        <v>2534</v>
      </c>
      <c r="AU52" s="10">
        <v>2534</v>
      </c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</row>
    <row r="53" spans="14:70" x14ac:dyDescent="0.35">
      <c r="N53" s="10">
        <f t="shared" si="0"/>
        <v>1049076</v>
      </c>
      <c r="O53">
        <v>67</v>
      </c>
      <c r="P53">
        <v>68</v>
      </c>
      <c r="Q53" t="b">
        <v>1</v>
      </c>
      <c r="R53" t="b">
        <v>1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2534</v>
      </c>
      <c r="Y53" s="10">
        <v>3801</v>
      </c>
      <c r="Z53" s="10">
        <v>3801</v>
      </c>
      <c r="AA53" s="10">
        <v>3801</v>
      </c>
      <c r="AB53" s="10">
        <v>3801</v>
      </c>
      <c r="AC53" s="10">
        <v>3801</v>
      </c>
      <c r="AD53" s="10">
        <v>3801</v>
      </c>
      <c r="AE53" s="10">
        <v>3801</v>
      </c>
      <c r="AF53" s="10">
        <v>3801</v>
      </c>
      <c r="AG53" s="10">
        <v>3801</v>
      </c>
      <c r="AH53" s="10">
        <v>3801</v>
      </c>
      <c r="AI53" s="10">
        <v>3801</v>
      </c>
      <c r="AJ53" s="10">
        <v>3801</v>
      </c>
      <c r="AK53" s="10">
        <v>3801</v>
      </c>
      <c r="AL53" s="10">
        <v>3801</v>
      </c>
      <c r="AM53" s="10">
        <v>3801</v>
      </c>
      <c r="AN53" s="10">
        <v>3801</v>
      </c>
      <c r="AO53" s="10">
        <v>3801</v>
      </c>
      <c r="AP53" s="10">
        <v>3801</v>
      </c>
      <c r="AQ53" s="10">
        <v>3801</v>
      </c>
      <c r="AR53" s="10">
        <v>3801</v>
      </c>
      <c r="AS53" s="10">
        <v>3801</v>
      </c>
      <c r="AT53" s="10">
        <v>2534</v>
      </c>
      <c r="AU53" s="10">
        <v>2534</v>
      </c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</row>
    <row r="54" spans="14:70" x14ac:dyDescent="0.35">
      <c r="N54" s="10">
        <f t="shared" si="0"/>
        <v>1033872</v>
      </c>
      <c r="O54">
        <v>67</v>
      </c>
      <c r="P54">
        <v>69</v>
      </c>
      <c r="Q54" t="b">
        <v>1</v>
      </c>
      <c r="R54" t="b">
        <v>1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2534</v>
      </c>
      <c r="Y54" s="10">
        <v>2534</v>
      </c>
      <c r="Z54" s="10">
        <v>3801</v>
      </c>
      <c r="AA54" s="10">
        <v>3801</v>
      </c>
      <c r="AB54" s="10">
        <v>3801</v>
      </c>
      <c r="AC54" s="10">
        <v>3801</v>
      </c>
      <c r="AD54" s="10">
        <v>3801</v>
      </c>
      <c r="AE54" s="10">
        <v>3801</v>
      </c>
      <c r="AF54" s="10">
        <v>3801</v>
      </c>
      <c r="AG54" s="10">
        <v>3801</v>
      </c>
      <c r="AH54" s="10">
        <v>3801</v>
      </c>
      <c r="AI54" s="10">
        <v>3801</v>
      </c>
      <c r="AJ54" s="10">
        <v>3801</v>
      </c>
      <c r="AK54" s="10">
        <v>3801</v>
      </c>
      <c r="AL54" s="10">
        <v>3801</v>
      </c>
      <c r="AM54" s="10">
        <v>3801</v>
      </c>
      <c r="AN54" s="10">
        <v>3801</v>
      </c>
      <c r="AO54" s="10">
        <v>3801</v>
      </c>
      <c r="AP54" s="10">
        <v>3801</v>
      </c>
      <c r="AQ54" s="10">
        <v>3801</v>
      </c>
      <c r="AR54" s="10">
        <v>3801</v>
      </c>
      <c r="AS54" s="10">
        <v>3801</v>
      </c>
      <c r="AT54" s="10">
        <v>2534</v>
      </c>
      <c r="AU54" s="10">
        <v>2534</v>
      </c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</row>
    <row r="55" spans="14:70" x14ac:dyDescent="0.35">
      <c r="N55" s="10">
        <f t="shared" si="0"/>
        <v>1018668</v>
      </c>
      <c r="O55">
        <v>67</v>
      </c>
      <c r="P55">
        <v>70</v>
      </c>
      <c r="Q55" t="b">
        <v>1</v>
      </c>
      <c r="R55" t="b">
        <v>1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2534</v>
      </c>
      <c r="Y55" s="10">
        <v>2534</v>
      </c>
      <c r="Z55" s="10">
        <v>2534</v>
      </c>
      <c r="AA55" s="10">
        <v>3801</v>
      </c>
      <c r="AB55" s="10">
        <v>3801</v>
      </c>
      <c r="AC55" s="10">
        <v>3801</v>
      </c>
      <c r="AD55" s="10">
        <v>3801</v>
      </c>
      <c r="AE55" s="10">
        <v>3801</v>
      </c>
      <c r="AF55" s="10">
        <v>3801</v>
      </c>
      <c r="AG55" s="10">
        <v>3801</v>
      </c>
      <c r="AH55" s="10">
        <v>3801</v>
      </c>
      <c r="AI55" s="10">
        <v>3801</v>
      </c>
      <c r="AJ55" s="10">
        <v>3801</v>
      </c>
      <c r="AK55" s="10">
        <v>3801</v>
      </c>
      <c r="AL55" s="10">
        <v>3801</v>
      </c>
      <c r="AM55" s="10">
        <v>3801</v>
      </c>
      <c r="AN55" s="10">
        <v>3801</v>
      </c>
      <c r="AO55" s="10">
        <v>3801</v>
      </c>
      <c r="AP55" s="10">
        <v>3801</v>
      </c>
      <c r="AQ55" s="10">
        <v>3801</v>
      </c>
      <c r="AR55" s="10">
        <v>3801</v>
      </c>
      <c r="AS55" s="10">
        <v>3801</v>
      </c>
      <c r="AT55" s="10">
        <v>2534</v>
      </c>
      <c r="AU55" s="10">
        <v>2534</v>
      </c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</row>
    <row r="56" spans="14:70" x14ac:dyDescent="0.35">
      <c r="N56" s="10">
        <f t="shared" si="0"/>
        <v>944280.39999999991</v>
      </c>
      <c r="O56">
        <v>68</v>
      </c>
      <c r="P56">
        <v>62</v>
      </c>
      <c r="Q56" t="b">
        <v>1</v>
      </c>
      <c r="R56" t="b">
        <v>1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3486.7000000000007</v>
      </c>
      <c r="Z56" s="10">
        <v>3486.7000000000007</v>
      </c>
      <c r="AA56" s="10">
        <v>3486.7000000000007</v>
      </c>
      <c r="AB56" s="10">
        <v>3486.7000000000007</v>
      </c>
      <c r="AC56" s="10">
        <v>3486.7000000000007</v>
      </c>
      <c r="AD56" s="10">
        <v>3486.7000000000007</v>
      </c>
      <c r="AE56" s="10">
        <v>3486.7000000000007</v>
      </c>
      <c r="AF56" s="10">
        <v>3486.7000000000007</v>
      </c>
      <c r="AG56" s="10">
        <v>3486.7000000000007</v>
      </c>
      <c r="AH56" s="10">
        <v>3486.7000000000007</v>
      </c>
      <c r="AI56" s="10">
        <v>3486.7000000000007</v>
      </c>
      <c r="AJ56" s="10">
        <v>3486.7000000000007</v>
      </c>
      <c r="AK56" s="10">
        <v>3486.7000000000007</v>
      </c>
      <c r="AL56" s="10">
        <v>3486.7000000000007</v>
      </c>
      <c r="AM56" s="10">
        <v>3486.7000000000007</v>
      </c>
      <c r="AN56" s="10">
        <v>3486.7000000000007</v>
      </c>
      <c r="AO56" s="10">
        <v>3486.7000000000007</v>
      </c>
      <c r="AP56" s="10">
        <v>3486.7000000000007</v>
      </c>
      <c r="AQ56" s="10">
        <v>3486.7000000000007</v>
      </c>
      <c r="AR56" s="10">
        <v>3486.7000000000007</v>
      </c>
      <c r="AS56" s="10">
        <v>3486.7000000000007</v>
      </c>
      <c r="AT56" s="10">
        <v>2734.666666666667</v>
      </c>
      <c r="AU56" s="10">
        <v>2734.666666666667</v>
      </c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</row>
    <row r="57" spans="14:70" x14ac:dyDescent="0.35">
      <c r="N57" s="10">
        <f t="shared" si="0"/>
        <v>990222.80000000051</v>
      </c>
      <c r="O57">
        <v>68</v>
      </c>
      <c r="P57">
        <v>63</v>
      </c>
      <c r="Q57" t="b">
        <v>1</v>
      </c>
      <c r="R57" t="b">
        <v>1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  <c r="Y57" s="10">
        <v>3669.0111111111114</v>
      </c>
      <c r="Z57" s="10">
        <v>3669.0111111111114</v>
      </c>
      <c r="AA57" s="10">
        <v>3669.0111111111114</v>
      </c>
      <c r="AB57" s="10">
        <v>3669.0111111111114</v>
      </c>
      <c r="AC57" s="10">
        <v>3669.0111111111114</v>
      </c>
      <c r="AD57" s="10">
        <v>3669.0111111111114</v>
      </c>
      <c r="AE57" s="10">
        <v>3669.0111111111114</v>
      </c>
      <c r="AF57" s="10">
        <v>3669.0111111111114</v>
      </c>
      <c r="AG57" s="10">
        <v>3669.0111111111114</v>
      </c>
      <c r="AH57" s="10">
        <v>3669.0111111111114</v>
      </c>
      <c r="AI57" s="10">
        <v>3669.0111111111114</v>
      </c>
      <c r="AJ57" s="10">
        <v>3669.0111111111114</v>
      </c>
      <c r="AK57" s="10">
        <v>3669.0111111111114</v>
      </c>
      <c r="AL57" s="10">
        <v>3669.0111111111114</v>
      </c>
      <c r="AM57" s="10">
        <v>3669.0111111111114</v>
      </c>
      <c r="AN57" s="10">
        <v>3669.0111111111114</v>
      </c>
      <c r="AO57" s="10">
        <v>3669.0111111111114</v>
      </c>
      <c r="AP57" s="10">
        <v>3669.0111111111114</v>
      </c>
      <c r="AQ57" s="10">
        <v>3669.0111111111114</v>
      </c>
      <c r="AR57" s="10">
        <v>3669.0111111111114</v>
      </c>
      <c r="AS57" s="10">
        <v>3669.0111111111114</v>
      </c>
      <c r="AT57" s="10">
        <v>2734.666666666667</v>
      </c>
      <c r="AU57" s="10">
        <v>2734.666666666667</v>
      </c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</row>
    <row r="58" spans="14:70" x14ac:dyDescent="0.35">
      <c r="N58" s="10">
        <f t="shared" si="0"/>
        <v>1027551.0000000003</v>
      </c>
      <c r="O58">
        <v>68</v>
      </c>
      <c r="P58">
        <v>64</v>
      </c>
      <c r="Q58" t="b">
        <v>1</v>
      </c>
      <c r="R58" t="b">
        <v>1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3817.1388888888896</v>
      </c>
      <c r="Z58" s="10">
        <v>3817.1388888888896</v>
      </c>
      <c r="AA58" s="10">
        <v>3817.1388888888896</v>
      </c>
      <c r="AB58" s="10">
        <v>3817.1388888888896</v>
      </c>
      <c r="AC58" s="10">
        <v>3817.1388888888896</v>
      </c>
      <c r="AD58" s="10">
        <v>3817.1388888888896</v>
      </c>
      <c r="AE58" s="10">
        <v>3817.1388888888896</v>
      </c>
      <c r="AF58" s="10">
        <v>3817.1388888888896</v>
      </c>
      <c r="AG58" s="10">
        <v>3817.1388888888896</v>
      </c>
      <c r="AH58" s="10">
        <v>3817.1388888888896</v>
      </c>
      <c r="AI58" s="10">
        <v>3817.1388888888896</v>
      </c>
      <c r="AJ58" s="10">
        <v>3817.1388888888896</v>
      </c>
      <c r="AK58" s="10">
        <v>3817.1388888888896</v>
      </c>
      <c r="AL58" s="10">
        <v>3817.1388888888896</v>
      </c>
      <c r="AM58" s="10">
        <v>3817.1388888888896</v>
      </c>
      <c r="AN58" s="10">
        <v>3817.1388888888896</v>
      </c>
      <c r="AO58" s="10">
        <v>3817.1388888888896</v>
      </c>
      <c r="AP58" s="10">
        <v>3817.1388888888896</v>
      </c>
      <c r="AQ58" s="10">
        <v>3817.1388888888896</v>
      </c>
      <c r="AR58" s="10">
        <v>3817.1388888888896</v>
      </c>
      <c r="AS58" s="10">
        <v>3817.1388888888896</v>
      </c>
      <c r="AT58" s="10">
        <v>2734.666666666667</v>
      </c>
      <c r="AU58" s="10">
        <v>2734.666666666667</v>
      </c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</row>
    <row r="59" spans="14:70" x14ac:dyDescent="0.35">
      <c r="N59" s="10">
        <f t="shared" si="0"/>
        <v>1056265.0000000002</v>
      </c>
      <c r="O59">
        <v>68</v>
      </c>
      <c r="P59">
        <v>65</v>
      </c>
      <c r="Q59" t="b">
        <v>1</v>
      </c>
      <c r="R59" t="b">
        <v>1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3931.0833333333339</v>
      </c>
      <c r="Z59" s="10">
        <v>3931.0833333333339</v>
      </c>
      <c r="AA59" s="10">
        <v>3931.0833333333339</v>
      </c>
      <c r="AB59" s="10">
        <v>3931.0833333333339</v>
      </c>
      <c r="AC59" s="10">
        <v>3931.0833333333339</v>
      </c>
      <c r="AD59" s="10">
        <v>3931.0833333333339</v>
      </c>
      <c r="AE59" s="10">
        <v>3931.0833333333339</v>
      </c>
      <c r="AF59" s="10">
        <v>3931.0833333333339</v>
      </c>
      <c r="AG59" s="10">
        <v>3931.0833333333339</v>
      </c>
      <c r="AH59" s="10">
        <v>3931.0833333333339</v>
      </c>
      <c r="AI59" s="10">
        <v>3931.0833333333339</v>
      </c>
      <c r="AJ59" s="10">
        <v>3931.0833333333339</v>
      </c>
      <c r="AK59" s="10">
        <v>3931.0833333333339</v>
      </c>
      <c r="AL59" s="10">
        <v>3931.0833333333339</v>
      </c>
      <c r="AM59" s="10">
        <v>3931.0833333333339</v>
      </c>
      <c r="AN59" s="10">
        <v>3931.0833333333339</v>
      </c>
      <c r="AO59" s="10">
        <v>3931.0833333333339</v>
      </c>
      <c r="AP59" s="10">
        <v>3931.0833333333339</v>
      </c>
      <c r="AQ59" s="10">
        <v>3931.0833333333339</v>
      </c>
      <c r="AR59" s="10">
        <v>3931.0833333333339</v>
      </c>
      <c r="AS59" s="10">
        <v>3931.0833333333339</v>
      </c>
      <c r="AT59" s="10">
        <v>2734.666666666667</v>
      </c>
      <c r="AU59" s="10">
        <v>2734.666666666667</v>
      </c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</row>
    <row r="60" spans="14:70" x14ac:dyDescent="0.35">
      <c r="N60" s="10">
        <f t="shared" si="0"/>
        <v>1084979.0000000005</v>
      </c>
      <c r="O60">
        <v>68</v>
      </c>
      <c r="P60">
        <v>66</v>
      </c>
      <c r="Q60" t="b">
        <v>1</v>
      </c>
      <c r="R60" t="b">
        <v>1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4045.0277777777783</v>
      </c>
      <c r="Z60" s="10">
        <v>4045.0277777777783</v>
      </c>
      <c r="AA60" s="10">
        <v>4045.0277777777783</v>
      </c>
      <c r="AB60" s="10">
        <v>4045.0277777777783</v>
      </c>
      <c r="AC60" s="10">
        <v>4045.0277777777783</v>
      </c>
      <c r="AD60" s="10">
        <v>4045.0277777777783</v>
      </c>
      <c r="AE60" s="10">
        <v>4045.0277777777783</v>
      </c>
      <c r="AF60" s="10">
        <v>4045.0277777777783</v>
      </c>
      <c r="AG60" s="10">
        <v>4045.0277777777783</v>
      </c>
      <c r="AH60" s="10">
        <v>4045.0277777777783</v>
      </c>
      <c r="AI60" s="10">
        <v>4045.0277777777783</v>
      </c>
      <c r="AJ60" s="10">
        <v>4045.0277777777783</v>
      </c>
      <c r="AK60" s="10">
        <v>4045.0277777777783</v>
      </c>
      <c r="AL60" s="10">
        <v>4045.0277777777783</v>
      </c>
      <c r="AM60" s="10">
        <v>4045.0277777777783</v>
      </c>
      <c r="AN60" s="10">
        <v>4045.0277777777783</v>
      </c>
      <c r="AO60" s="10">
        <v>4045.0277777777783</v>
      </c>
      <c r="AP60" s="10">
        <v>4045.0277777777783</v>
      </c>
      <c r="AQ60" s="10">
        <v>4045.0277777777783</v>
      </c>
      <c r="AR60" s="10">
        <v>4045.0277777777783</v>
      </c>
      <c r="AS60" s="10">
        <v>4045.0277777777783</v>
      </c>
      <c r="AT60" s="10">
        <v>2734.666666666667</v>
      </c>
      <c r="AU60" s="10">
        <v>2734.666666666667</v>
      </c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</row>
    <row r="61" spans="14:70" x14ac:dyDescent="0.35">
      <c r="N61" s="10">
        <f t="shared" si="0"/>
        <v>1099336</v>
      </c>
      <c r="O61">
        <v>68</v>
      </c>
      <c r="P61">
        <v>67</v>
      </c>
      <c r="Q61" t="b">
        <v>1</v>
      </c>
      <c r="R61" t="b">
        <v>1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4102</v>
      </c>
      <c r="Z61" s="10">
        <v>4102</v>
      </c>
      <c r="AA61" s="10">
        <v>4102</v>
      </c>
      <c r="AB61" s="10">
        <v>4102</v>
      </c>
      <c r="AC61" s="10">
        <v>4102</v>
      </c>
      <c r="AD61" s="10">
        <v>4102</v>
      </c>
      <c r="AE61" s="10">
        <v>4102</v>
      </c>
      <c r="AF61" s="10">
        <v>4102</v>
      </c>
      <c r="AG61" s="10">
        <v>4102</v>
      </c>
      <c r="AH61" s="10">
        <v>4102</v>
      </c>
      <c r="AI61" s="10">
        <v>4102</v>
      </c>
      <c r="AJ61" s="10">
        <v>4102</v>
      </c>
      <c r="AK61" s="10">
        <v>4102</v>
      </c>
      <c r="AL61" s="10">
        <v>4102</v>
      </c>
      <c r="AM61" s="10">
        <v>4102</v>
      </c>
      <c r="AN61" s="10">
        <v>4102</v>
      </c>
      <c r="AO61" s="10">
        <v>4102</v>
      </c>
      <c r="AP61" s="10">
        <v>4102</v>
      </c>
      <c r="AQ61" s="10">
        <v>4102</v>
      </c>
      <c r="AR61" s="10">
        <v>4102</v>
      </c>
      <c r="AS61" s="10">
        <v>4102</v>
      </c>
      <c r="AT61" s="10">
        <v>2734.666666666667</v>
      </c>
      <c r="AU61" s="10">
        <v>2734.666666666667</v>
      </c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</row>
    <row r="62" spans="14:70" x14ac:dyDescent="0.35">
      <c r="N62" s="10">
        <f t="shared" si="0"/>
        <v>1099336</v>
      </c>
      <c r="O62">
        <v>68</v>
      </c>
      <c r="P62">
        <v>68</v>
      </c>
      <c r="Q62" t="b">
        <v>1</v>
      </c>
      <c r="R62" t="b">
        <v>1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4102</v>
      </c>
      <c r="Z62" s="10">
        <v>4102</v>
      </c>
      <c r="AA62" s="10">
        <v>4102</v>
      </c>
      <c r="AB62" s="10">
        <v>4102</v>
      </c>
      <c r="AC62" s="10">
        <v>4102</v>
      </c>
      <c r="AD62" s="10">
        <v>4102</v>
      </c>
      <c r="AE62" s="10">
        <v>4102</v>
      </c>
      <c r="AF62" s="10">
        <v>4102</v>
      </c>
      <c r="AG62" s="10">
        <v>4102</v>
      </c>
      <c r="AH62" s="10">
        <v>4102</v>
      </c>
      <c r="AI62" s="10">
        <v>4102</v>
      </c>
      <c r="AJ62" s="10">
        <v>4102</v>
      </c>
      <c r="AK62" s="10">
        <v>4102</v>
      </c>
      <c r="AL62" s="10">
        <v>4102</v>
      </c>
      <c r="AM62" s="10">
        <v>4102</v>
      </c>
      <c r="AN62" s="10">
        <v>4102</v>
      </c>
      <c r="AO62" s="10">
        <v>4102</v>
      </c>
      <c r="AP62" s="10">
        <v>4102</v>
      </c>
      <c r="AQ62" s="10">
        <v>4102</v>
      </c>
      <c r="AR62" s="10">
        <v>4102</v>
      </c>
      <c r="AS62" s="10">
        <v>4102</v>
      </c>
      <c r="AT62" s="10">
        <v>2734.666666666667</v>
      </c>
      <c r="AU62" s="10">
        <v>2734.666666666667</v>
      </c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</row>
    <row r="63" spans="14:70" x14ac:dyDescent="0.35">
      <c r="N63" s="10">
        <f t="shared" si="0"/>
        <v>1082928.0000000002</v>
      </c>
      <c r="O63">
        <v>68</v>
      </c>
      <c r="P63">
        <v>69</v>
      </c>
      <c r="Q63" t="b">
        <v>1</v>
      </c>
      <c r="R63" t="b">
        <v>1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2734.666666666667</v>
      </c>
      <c r="Z63" s="10">
        <v>4102</v>
      </c>
      <c r="AA63" s="10">
        <v>4102</v>
      </c>
      <c r="AB63" s="10">
        <v>4102</v>
      </c>
      <c r="AC63" s="10">
        <v>4102</v>
      </c>
      <c r="AD63" s="10">
        <v>4102</v>
      </c>
      <c r="AE63" s="10">
        <v>4102</v>
      </c>
      <c r="AF63" s="10">
        <v>4102</v>
      </c>
      <c r="AG63" s="10">
        <v>4102</v>
      </c>
      <c r="AH63" s="10">
        <v>4102</v>
      </c>
      <c r="AI63" s="10">
        <v>4102</v>
      </c>
      <c r="AJ63" s="10">
        <v>4102</v>
      </c>
      <c r="AK63" s="10">
        <v>4102</v>
      </c>
      <c r="AL63" s="10">
        <v>4102</v>
      </c>
      <c r="AM63" s="10">
        <v>4102</v>
      </c>
      <c r="AN63" s="10">
        <v>4102</v>
      </c>
      <c r="AO63" s="10">
        <v>4102</v>
      </c>
      <c r="AP63" s="10">
        <v>4102</v>
      </c>
      <c r="AQ63" s="10">
        <v>4102</v>
      </c>
      <c r="AR63" s="10">
        <v>4102</v>
      </c>
      <c r="AS63" s="10">
        <v>4102</v>
      </c>
      <c r="AT63" s="10">
        <v>2734.666666666667</v>
      </c>
      <c r="AU63" s="10">
        <v>2734.666666666667</v>
      </c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</row>
    <row r="64" spans="14:70" x14ac:dyDescent="0.35">
      <c r="N64" s="10">
        <f t="shared" si="0"/>
        <v>1066520.0000000002</v>
      </c>
      <c r="O64">
        <v>68</v>
      </c>
      <c r="P64">
        <v>70</v>
      </c>
      <c r="Q64" t="b">
        <v>1</v>
      </c>
      <c r="R64" t="b">
        <v>1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2734.666666666667</v>
      </c>
      <c r="Z64" s="10">
        <v>2734.666666666667</v>
      </c>
      <c r="AA64" s="10">
        <v>4102</v>
      </c>
      <c r="AB64" s="10">
        <v>4102</v>
      </c>
      <c r="AC64" s="10">
        <v>4102</v>
      </c>
      <c r="AD64" s="10">
        <v>4102</v>
      </c>
      <c r="AE64" s="10">
        <v>4102</v>
      </c>
      <c r="AF64" s="10">
        <v>4102</v>
      </c>
      <c r="AG64" s="10">
        <v>4102</v>
      </c>
      <c r="AH64" s="10">
        <v>4102</v>
      </c>
      <c r="AI64" s="10">
        <v>4102</v>
      </c>
      <c r="AJ64" s="10">
        <v>4102</v>
      </c>
      <c r="AK64" s="10">
        <v>4102</v>
      </c>
      <c r="AL64" s="10">
        <v>4102</v>
      </c>
      <c r="AM64" s="10">
        <v>4102</v>
      </c>
      <c r="AN64" s="10">
        <v>4102</v>
      </c>
      <c r="AO64" s="10">
        <v>4102</v>
      </c>
      <c r="AP64" s="10">
        <v>4102</v>
      </c>
      <c r="AQ64" s="10">
        <v>4102</v>
      </c>
      <c r="AR64" s="10">
        <v>4102</v>
      </c>
      <c r="AS64" s="10">
        <v>4102</v>
      </c>
      <c r="AT64" s="10">
        <v>2734.666666666667</v>
      </c>
      <c r="AU64" s="10">
        <v>2734.666666666667</v>
      </c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</row>
    <row r="65" spans="14:70" x14ac:dyDescent="0.35">
      <c r="N65" s="10">
        <f t="shared" si="0"/>
        <v>968660.00000000023</v>
      </c>
      <c r="O65">
        <v>69</v>
      </c>
      <c r="P65">
        <v>62</v>
      </c>
      <c r="Q65" t="b">
        <v>1</v>
      </c>
      <c r="R65" t="b">
        <v>1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3742.55</v>
      </c>
      <c r="AA65" s="10">
        <v>3742.55</v>
      </c>
      <c r="AB65" s="10">
        <v>3742.55</v>
      </c>
      <c r="AC65" s="10">
        <v>3742.55</v>
      </c>
      <c r="AD65" s="10">
        <v>3742.55</v>
      </c>
      <c r="AE65" s="10">
        <v>3742.55</v>
      </c>
      <c r="AF65" s="10">
        <v>3742.55</v>
      </c>
      <c r="AG65" s="10">
        <v>3742.55</v>
      </c>
      <c r="AH65" s="10">
        <v>3742.55</v>
      </c>
      <c r="AI65" s="10">
        <v>3742.55</v>
      </c>
      <c r="AJ65" s="10">
        <v>3742.55</v>
      </c>
      <c r="AK65" s="10">
        <v>3742.55</v>
      </c>
      <c r="AL65" s="10">
        <v>3742.55</v>
      </c>
      <c r="AM65" s="10">
        <v>3742.55</v>
      </c>
      <c r="AN65" s="10">
        <v>3742.55</v>
      </c>
      <c r="AO65" s="10">
        <v>3742.55</v>
      </c>
      <c r="AP65" s="10">
        <v>3742.55</v>
      </c>
      <c r="AQ65" s="10">
        <v>3742.55</v>
      </c>
      <c r="AR65" s="10">
        <v>3742.55</v>
      </c>
      <c r="AS65" s="10">
        <v>3742.55</v>
      </c>
      <c r="AT65" s="10">
        <v>2935.3333333333335</v>
      </c>
      <c r="AU65" s="10">
        <v>2935.3333333333335</v>
      </c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</row>
    <row r="66" spans="14:70" x14ac:dyDescent="0.35">
      <c r="N66" s="10">
        <f t="shared" si="0"/>
        <v>1015625.3333333329</v>
      </c>
      <c r="O66">
        <v>69</v>
      </c>
      <c r="P66">
        <v>63</v>
      </c>
      <c r="Q66" t="b">
        <v>1</v>
      </c>
      <c r="R66" t="b">
        <v>1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3938.2388888888891</v>
      </c>
      <c r="AA66" s="10">
        <v>3938.2388888888891</v>
      </c>
      <c r="AB66" s="10">
        <v>3938.2388888888891</v>
      </c>
      <c r="AC66" s="10">
        <v>3938.2388888888891</v>
      </c>
      <c r="AD66" s="10">
        <v>3938.2388888888891</v>
      </c>
      <c r="AE66" s="10">
        <v>3938.2388888888891</v>
      </c>
      <c r="AF66" s="10">
        <v>3938.2388888888891</v>
      </c>
      <c r="AG66" s="10">
        <v>3938.2388888888891</v>
      </c>
      <c r="AH66" s="10">
        <v>3938.2388888888891</v>
      </c>
      <c r="AI66" s="10">
        <v>3938.2388888888891</v>
      </c>
      <c r="AJ66" s="10">
        <v>3938.2388888888891</v>
      </c>
      <c r="AK66" s="10">
        <v>3938.2388888888891</v>
      </c>
      <c r="AL66" s="10">
        <v>3938.2388888888891</v>
      </c>
      <c r="AM66" s="10">
        <v>3938.2388888888891</v>
      </c>
      <c r="AN66" s="10">
        <v>3938.2388888888891</v>
      </c>
      <c r="AO66" s="10">
        <v>3938.2388888888891</v>
      </c>
      <c r="AP66" s="10">
        <v>3938.2388888888891</v>
      </c>
      <c r="AQ66" s="10">
        <v>3938.2388888888891</v>
      </c>
      <c r="AR66" s="10">
        <v>3938.2388888888891</v>
      </c>
      <c r="AS66" s="10">
        <v>3938.2388888888891</v>
      </c>
      <c r="AT66" s="10">
        <v>2935.3333333333335</v>
      </c>
      <c r="AU66" s="10">
        <v>2935.3333333333335</v>
      </c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</row>
    <row r="67" spans="14:70" x14ac:dyDescent="0.35">
      <c r="N67" s="10">
        <f t="shared" ref="N67:N82" si="1">SUM(S67:BR67)*12</f>
        <v>1053784.6666666663</v>
      </c>
      <c r="O67">
        <v>69</v>
      </c>
      <c r="P67">
        <v>64</v>
      </c>
      <c r="Q67" t="b">
        <v>1</v>
      </c>
      <c r="R67" t="b">
        <v>1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4097.2361111111113</v>
      </c>
      <c r="AA67" s="10">
        <v>4097.2361111111113</v>
      </c>
      <c r="AB67" s="10">
        <v>4097.2361111111113</v>
      </c>
      <c r="AC67" s="10">
        <v>4097.2361111111113</v>
      </c>
      <c r="AD67" s="10">
        <v>4097.2361111111113</v>
      </c>
      <c r="AE67" s="10">
        <v>4097.2361111111113</v>
      </c>
      <c r="AF67" s="10">
        <v>4097.2361111111113</v>
      </c>
      <c r="AG67" s="10">
        <v>4097.2361111111113</v>
      </c>
      <c r="AH67" s="10">
        <v>4097.2361111111113</v>
      </c>
      <c r="AI67" s="10">
        <v>4097.2361111111113</v>
      </c>
      <c r="AJ67" s="10">
        <v>4097.2361111111113</v>
      </c>
      <c r="AK67" s="10">
        <v>4097.2361111111113</v>
      </c>
      <c r="AL67" s="10">
        <v>4097.2361111111113</v>
      </c>
      <c r="AM67" s="10">
        <v>4097.2361111111113</v>
      </c>
      <c r="AN67" s="10">
        <v>4097.2361111111113</v>
      </c>
      <c r="AO67" s="10">
        <v>4097.2361111111113</v>
      </c>
      <c r="AP67" s="10">
        <v>4097.2361111111113</v>
      </c>
      <c r="AQ67" s="10">
        <v>4097.2361111111113</v>
      </c>
      <c r="AR67" s="10">
        <v>4097.2361111111113</v>
      </c>
      <c r="AS67" s="10">
        <v>4097.2361111111113</v>
      </c>
      <c r="AT67" s="10">
        <v>2935.3333333333335</v>
      </c>
      <c r="AU67" s="10">
        <v>2935.3333333333335</v>
      </c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</row>
    <row r="68" spans="14:70" x14ac:dyDescent="0.35">
      <c r="N68" s="10">
        <f t="shared" si="1"/>
        <v>1083138</v>
      </c>
      <c r="O68">
        <v>69</v>
      </c>
      <c r="P68">
        <v>65</v>
      </c>
      <c r="Q68" t="b">
        <v>1</v>
      </c>
      <c r="R68" t="b">
        <v>1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4219.541666666667</v>
      </c>
      <c r="AA68" s="10">
        <v>4219.541666666667</v>
      </c>
      <c r="AB68" s="10">
        <v>4219.541666666667</v>
      </c>
      <c r="AC68" s="10">
        <v>4219.541666666667</v>
      </c>
      <c r="AD68" s="10">
        <v>4219.541666666667</v>
      </c>
      <c r="AE68" s="10">
        <v>4219.541666666667</v>
      </c>
      <c r="AF68" s="10">
        <v>4219.541666666667</v>
      </c>
      <c r="AG68" s="10">
        <v>4219.541666666667</v>
      </c>
      <c r="AH68" s="10">
        <v>4219.541666666667</v>
      </c>
      <c r="AI68" s="10">
        <v>4219.541666666667</v>
      </c>
      <c r="AJ68" s="10">
        <v>4219.541666666667</v>
      </c>
      <c r="AK68" s="10">
        <v>4219.541666666667</v>
      </c>
      <c r="AL68" s="10">
        <v>4219.541666666667</v>
      </c>
      <c r="AM68" s="10">
        <v>4219.541666666667</v>
      </c>
      <c r="AN68" s="10">
        <v>4219.541666666667</v>
      </c>
      <c r="AO68" s="10">
        <v>4219.541666666667</v>
      </c>
      <c r="AP68" s="10">
        <v>4219.541666666667</v>
      </c>
      <c r="AQ68" s="10">
        <v>4219.541666666667</v>
      </c>
      <c r="AR68" s="10">
        <v>4219.541666666667</v>
      </c>
      <c r="AS68" s="10">
        <v>4219.541666666667</v>
      </c>
      <c r="AT68" s="10">
        <v>2935.3333333333335</v>
      </c>
      <c r="AU68" s="10">
        <v>2935.3333333333335</v>
      </c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</row>
    <row r="69" spans="14:70" x14ac:dyDescent="0.35">
      <c r="N69" s="10">
        <f t="shared" si="1"/>
        <v>1112491.3333333328</v>
      </c>
      <c r="O69">
        <v>69</v>
      </c>
      <c r="P69">
        <v>66</v>
      </c>
      <c r="Q69" t="b">
        <v>1</v>
      </c>
      <c r="R69" t="b">
        <v>1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4341.8472222222226</v>
      </c>
      <c r="AA69" s="10">
        <v>4341.8472222222226</v>
      </c>
      <c r="AB69" s="10">
        <v>4341.8472222222226</v>
      </c>
      <c r="AC69" s="10">
        <v>4341.8472222222226</v>
      </c>
      <c r="AD69" s="10">
        <v>4341.8472222222226</v>
      </c>
      <c r="AE69" s="10">
        <v>4341.8472222222226</v>
      </c>
      <c r="AF69" s="10">
        <v>4341.8472222222226</v>
      </c>
      <c r="AG69" s="10">
        <v>4341.8472222222226</v>
      </c>
      <c r="AH69" s="10">
        <v>4341.8472222222226</v>
      </c>
      <c r="AI69" s="10">
        <v>4341.8472222222226</v>
      </c>
      <c r="AJ69" s="10">
        <v>4341.8472222222226</v>
      </c>
      <c r="AK69" s="10">
        <v>4341.8472222222226</v>
      </c>
      <c r="AL69" s="10">
        <v>4341.8472222222226</v>
      </c>
      <c r="AM69" s="10">
        <v>4341.8472222222226</v>
      </c>
      <c r="AN69" s="10">
        <v>4341.8472222222226</v>
      </c>
      <c r="AO69" s="10">
        <v>4341.8472222222226</v>
      </c>
      <c r="AP69" s="10">
        <v>4341.8472222222226</v>
      </c>
      <c r="AQ69" s="10">
        <v>4341.8472222222226</v>
      </c>
      <c r="AR69" s="10">
        <v>4341.8472222222226</v>
      </c>
      <c r="AS69" s="10">
        <v>4341.8472222222226</v>
      </c>
      <c r="AT69" s="10">
        <v>2935.3333333333335</v>
      </c>
      <c r="AU69" s="10">
        <v>2935.3333333333335</v>
      </c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</row>
    <row r="70" spans="14:70" x14ac:dyDescent="0.35">
      <c r="N70" s="10">
        <f t="shared" si="1"/>
        <v>1127168</v>
      </c>
      <c r="O70">
        <v>69</v>
      </c>
      <c r="P70">
        <v>67</v>
      </c>
      <c r="Q70" t="b">
        <v>1</v>
      </c>
      <c r="R70" t="b">
        <v>1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4403</v>
      </c>
      <c r="AA70" s="10">
        <v>4403</v>
      </c>
      <c r="AB70" s="10">
        <v>4403</v>
      </c>
      <c r="AC70" s="10">
        <v>4403</v>
      </c>
      <c r="AD70" s="10">
        <v>4403</v>
      </c>
      <c r="AE70" s="10">
        <v>4403</v>
      </c>
      <c r="AF70" s="10">
        <v>4403</v>
      </c>
      <c r="AG70" s="10">
        <v>4403</v>
      </c>
      <c r="AH70" s="10">
        <v>4403</v>
      </c>
      <c r="AI70" s="10">
        <v>4403</v>
      </c>
      <c r="AJ70" s="10">
        <v>4403</v>
      </c>
      <c r="AK70" s="10">
        <v>4403</v>
      </c>
      <c r="AL70" s="10">
        <v>4403</v>
      </c>
      <c r="AM70" s="10">
        <v>4403</v>
      </c>
      <c r="AN70" s="10">
        <v>4403</v>
      </c>
      <c r="AO70" s="10">
        <v>4403</v>
      </c>
      <c r="AP70" s="10">
        <v>4403</v>
      </c>
      <c r="AQ70" s="10">
        <v>4403</v>
      </c>
      <c r="AR70" s="10">
        <v>4403</v>
      </c>
      <c r="AS70" s="10">
        <v>4403</v>
      </c>
      <c r="AT70" s="10">
        <v>2935.3333333333335</v>
      </c>
      <c r="AU70" s="10">
        <v>2935.3333333333335</v>
      </c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</row>
    <row r="71" spans="14:70" x14ac:dyDescent="0.35">
      <c r="N71" s="10">
        <f t="shared" si="1"/>
        <v>1127168</v>
      </c>
      <c r="O71">
        <v>69</v>
      </c>
      <c r="P71">
        <v>68</v>
      </c>
      <c r="Q71" t="b">
        <v>1</v>
      </c>
      <c r="R71" t="b">
        <v>1</v>
      </c>
      <c r="S71" s="10">
        <v>0</v>
      </c>
      <c r="T71" s="10">
        <v>0</v>
      </c>
      <c r="U71" s="10">
        <v>0</v>
      </c>
      <c r="V71" s="10">
        <v>0</v>
      </c>
      <c r="W71" s="10">
        <v>0</v>
      </c>
      <c r="X71" s="10">
        <v>0</v>
      </c>
      <c r="Y71" s="10">
        <v>0</v>
      </c>
      <c r="Z71" s="10">
        <v>4403</v>
      </c>
      <c r="AA71" s="10">
        <v>4403</v>
      </c>
      <c r="AB71" s="10">
        <v>4403</v>
      </c>
      <c r="AC71" s="10">
        <v>4403</v>
      </c>
      <c r="AD71" s="10">
        <v>4403</v>
      </c>
      <c r="AE71" s="10">
        <v>4403</v>
      </c>
      <c r="AF71" s="10">
        <v>4403</v>
      </c>
      <c r="AG71" s="10">
        <v>4403</v>
      </c>
      <c r="AH71" s="10">
        <v>4403</v>
      </c>
      <c r="AI71" s="10">
        <v>4403</v>
      </c>
      <c r="AJ71" s="10">
        <v>4403</v>
      </c>
      <c r="AK71" s="10">
        <v>4403</v>
      </c>
      <c r="AL71" s="10">
        <v>4403</v>
      </c>
      <c r="AM71" s="10">
        <v>4403</v>
      </c>
      <c r="AN71" s="10">
        <v>4403</v>
      </c>
      <c r="AO71" s="10">
        <v>4403</v>
      </c>
      <c r="AP71" s="10">
        <v>4403</v>
      </c>
      <c r="AQ71" s="10">
        <v>4403</v>
      </c>
      <c r="AR71" s="10">
        <v>4403</v>
      </c>
      <c r="AS71" s="10">
        <v>4403</v>
      </c>
      <c r="AT71" s="10">
        <v>2935.3333333333335</v>
      </c>
      <c r="AU71" s="10">
        <v>2935.3333333333335</v>
      </c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</row>
    <row r="72" spans="14:70" x14ac:dyDescent="0.35">
      <c r="N72" s="10">
        <f t="shared" si="1"/>
        <v>1127168</v>
      </c>
      <c r="O72">
        <v>69</v>
      </c>
      <c r="P72">
        <v>69</v>
      </c>
      <c r="Q72" t="b">
        <v>1</v>
      </c>
      <c r="R72" t="b">
        <v>1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 s="10">
        <v>4403</v>
      </c>
      <c r="AA72" s="10">
        <v>4403</v>
      </c>
      <c r="AB72" s="10">
        <v>4403</v>
      </c>
      <c r="AC72" s="10">
        <v>4403</v>
      </c>
      <c r="AD72" s="10">
        <v>4403</v>
      </c>
      <c r="AE72" s="10">
        <v>4403</v>
      </c>
      <c r="AF72" s="10">
        <v>4403</v>
      </c>
      <c r="AG72" s="10">
        <v>4403</v>
      </c>
      <c r="AH72" s="10">
        <v>4403</v>
      </c>
      <c r="AI72" s="10">
        <v>4403</v>
      </c>
      <c r="AJ72" s="10">
        <v>4403</v>
      </c>
      <c r="AK72" s="10">
        <v>4403</v>
      </c>
      <c r="AL72" s="10">
        <v>4403</v>
      </c>
      <c r="AM72" s="10">
        <v>4403</v>
      </c>
      <c r="AN72" s="10">
        <v>4403</v>
      </c>
      <c r="AO72" s="10">
        <v>4403</v>
      </c>
      <c r="AP72" s="10">
        <v>4403</v>
      </c>
      <c r="AQ72" s="10">
        <v>4403</v>
      </c>
      <c r="AR72" s="10">
        <v>4403</v>
      </c>
      <c r="AS72" s="10">
        <v>4403</v>
      </c>
      <c r="AT72" s="10">
        <v>2935.3333333333335</v>
      </c>
      <c r="AU72" s="10">
        <v>2935.3333333333335</v>
      </c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</row>
    <row r="73" spans="14:70" x14ac:dyDescent="0.35">
      <c r="N73" s="10">
        <f t="shared" si="1"/>
        <v>1109556</v>
      </c>
      <c r="O73">
        <v>69</v>
      </c>
      <c r="P73">
        <v>70</v>
      </c>
      <c r="Q73" t="b">
        <v>1</v>
      </c>
      <c r="R73" t="b">
        <v>1</v>
      </c>
      <c r="S73" s="10">
        <v>0</v>
      </c>
      <c r="T73" s="10">
        <v>0</v>
      </c>
      <c r="U73" s="10">
        <v>0</v>
      </c>
      <c r="V73" s="10">
        <v>0</v>
      </c>
      <c r="W73" s="10">
        <v>0</v>
      </c>
      <c r="X73" s="10">
        <v>0</v>
      </c>
      <c r="Y73" s="10">
        <v>0</v>
      </c>
      <c r="Z73" s="10">
        <v>2935.3333333333335</v>
      </c>
      <c r="AA73" s="10">
        <v>4403</v>
      </c>
      <c r="AB73" s="10">
        <v>4403</v>
      </c>
      <c r="AC73" s="10">
        <v>4403</v>
      </c>
      <c r="AD73" s="10">
        <v>4403</v>
      </c>
      <c r="AE73" s="10">
        <v>4403</v>
      </c>
      <c r="AF73" s="10">
        <v>4403</v>
      </c>
      <c r="AG73" s="10">
        <v>4403</v>
      </c>
      <c r="AH73" s="10">
        <v>4403</v>
      </c>
      <c r="AI73" s="10">
        <v>4403</v>
      </c>
      <c r="AJ73" s="10">
        <v>4403</v>
      </c>
      <c r="AK73" s="10">
        <v>4403</v>
      </c>
      <c r="AL73" s="10">
        <v>4403</v>
      </c>
      <c r="AM73" s="10">
        <v>4403</v>
      </c>
      <c r="AN73" s="10">
        <v>4403</v>
      </c>
      <c r="AO73" s="10">
        <v>4403</v>
      </c>
      <c r="AP73" s="10">
        <v>4403</v>
      </c>
      <c r="AQ73" s="10">
        <v>4403</v>
      </c>
      <c r="AR73" s="10">
        <v>4403</v>
      </c>
      <c r="AS73" s="10">
        <v>4403</v>
      </c>
      <c r="AT73" s="10">
        <v>2935.3333333333335</v>
      </c>
      <c r="AU73" s="10">
        <v>2935.3333333333335</v>
      </c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</row>
    <row r="74" spans="14:70" x14ac:dyDescent="0.35">
      <c r="N74" s="10">
        <f t="shared" si="1"/>
        <v>986899.20000000007</v>
      </c>
      <c r="O74">
        <v>70</v>
      </c>
      <c r="P74">
        <v>62</v>
      </c>
      <c r="Q74" t="b">
        <v>1</v>
      </c>
      <c r="R74" t="b">
        <v>1</v>
      </c>
      <c r="S74" s="10">
        <v>0</v>
      </c>
      <c r="T74" s="10">
        <v>0</v>
      </c>
      <c r="U74" s="10">
        <v>0</v>
      </c>
      <c r="V74" s="10">
        <v>0</v>
      </c>
      <c r="W74" s="10">
        <v>0</v>
      </c>
      <c r="X74" s="10">
        <v>0</v>
      </c>
      <c r="Y74" s="10">
        <v>0</v>
      </c>
      <c r="Z74" s="10">
        <v>0</v>
      </c>
      <c r="AA74" s="10">
        <v>3998.4</v>
      </c>
      <c r="AB74" s="10">
        <v>3998.4</v>
      </c>
      <c r="AC74" s="10">
        <v>3998.4</v>
      </c>
      <c r="AD74" s="10">
        <v>3998.4</v>
      </c>
      <c r="AE74" s="10">
        <v>3998.4</v>
      </c>
      <c r="AF74" s="10">
        <v>3998.4</v>
      </c>
      <c r="AG74" s="10">
        <v>3998.4</v>
      </c>
      <c r="AH74" s="10">
        <v>3998.4</v>
      </c>
      <c r="AI74" s="10">
        <v>3998.4</v>
      </c>
      <c r="AJ74" s="10">
        <v>3998.4</v>
      </c>
      <c r="AK74" s="10">
        <v>3998.4</v>
      </c>
      <c r="AL74" s="10">
        <v>3998.4</v>
      </c>
      <c r="AM74" s="10">
        <v>3998.4</v>
      </c>
      <c r="AN74" s="10">
        <v>3998.4</v>
      </c>
      <c r="AO74" s="10">
        <v>3998.4</v>
      </c>
      <c r="AP74" s="10">
        <v>3998.4</v>
      </c>
      <c r="AQ74" s="10">
        <v>3998.4</v>
      </c>
      <c r="AR74" s="10">
        <v>3998.4</v>
      </c>
      <c r="AS74" s="10">
        <v>3998.4</v>
      </c>
      <c r="AT74" s="10">
        <v>3136</v>
      </c>
      <c r="AU74" s="10">
        <v>3136</v>
      </c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</row>
    <row r="75" spans="14:70" x14ac:dyDescent="0.35">
      <c r="N75" s="10">
        <f t="shared" si="1"/>
        <v>1034566.4000000004</v>
      </c>
      <c r="O75">
        <v>70</v>
      </c>
      <c r="P75">
        <v>63</v>
      </c>
      <c r="Q75" t="b">
        <v>1</v>
      </c>
      <c r="R75" t="b">
        <v>1</v>
      </c>
      <c r="S75" s="10">
        <v>0</v>
      </c>
      <c r="T75" s="10">
        <v>0</v>
      </c>
      <c r="U75" s="10">
        <v>0</v>
      </c>
      <c r="V75" s="10">
        <v>0</v>
      </c>
      <c r="W75" s="10">
        <v>0</v>
      </c>
      <c r="X75" s="10">
        <v>0</v>
      </c>
      <c r="Y75" s="10">
        <v>0</v>
      </c>
      <c r="Z75" s="10">
        <v>0</v>
      </c>
      <c r="AA75" s="10">
        <v>4207.4666666666672</v>
      </c>
      <c r="AB75" s="10">
        <v>4207.4666666666672</v>
      </c>
      <c r="AC75" s="10">
        <v>4207.4666666666672</v>
      </c>
      <c r="AD75" s="10">
        <v>4207.4666666666672</v>
      </c>
      <c r="AE75" s="10">
        <v>4207.4666666666672</v>
      </c>
      <c r="AF75" s="10">
        <v>4207.4666666666672</v>
      </c>
      <c r="AG75" s="10">
        <v>4207.4666666666672</v>
      </c>
      <c r="AH75" s="10">
        <v>4207.4666666666672</v>
      </c>
      <c r="AI75" s="10">
        <v>4207.4666666666672</v>
      </c>
      <c r="AJ75" s="10">
        <v>4207.4666666666672</v>
      </c>
      <c r="AK75" s="10">
        <v>4207.4666666666672</v>
      </c>
      <c r="AL75" s="10">
        <v>4207.4666666666672</v>
      </c>
      <c r="AM75" s="10">
        <v>4207.4666666666672</v>
      </c>
      <c r="AN75" s="10">
        <v>4207.4666666666672</v>
      </c>
      <c r="AO75" s="10">
        <v>4207.4666666666672</v>
      </c>
      <c r="AP75" s="10">
        <v>4207.4666666666672</v>
      </c>
      <c r="AQ75" s="10">
        <v>4207.4666666666672</v>
      </c>
      <c r="AR75" s="10">
        <v>4207.4666666666672</v>
      </c>
      <c r="AS75" s="10">
        <v>4207.4666666666672</v>
      </c>
      <c r="AT75" s="10">
        <v>3136</v>
      </c>
      <c r="AU75" s="10">
        <v>3136</v>
      </c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</row>
    <row r="76" spans="14:70" x14ac:dyDescent="0.35">
      <c r="N76" s="10">
        <f t="shared" si="1"/>
        <v>1073296</v>
      </c>
      <c r="O76">
        <v>70</v>
      </c>
      <c r="P76">
        <v>64</v>
      </c>
      <c r="Q76" t="b">
        <v>1</v>
      </c>
      <c r="R76" t="b">
        <v>1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4377.3333333333339</v>
      </c>
      <c r="AB76" s="10">
        <v>4377.3333333333339</v>
      </c>
      <c r="AC76" s="10">
        <v>4377.3333333333339</v>
      </c>
      <c r="AD76" s="10">
        <v>4377.3333333333339</v>
      </c>
      <c r="AE76" s="10">
        <v>4377.3333333333339</v>
      </c>
      <c r="AF76" s="10">
        <v>4377.3333333333339</v>
      </c>
      <c r="AG76" s="10">
        <v>4377.3333333333339</v>
      </c>
      <c r="AH76" s="10">
        <v>4377.3333333333339</v>
      </c>
      <c r="AI76" s="10">
        <v>4377.3333333333339</v>
      </c>
      <c r="AJ76" s="10">
        <v>4377.3333333333339</v>
      </c>
      <c r="AK76" s="10">
        <v>4377.3333333333339</v>
      </c>
      <c r="AL76" s="10">
        <v>4377.3333333333339</v>
      </c>
      <c r="AM76" s="10">
        <v>4377.3333333333339</v>
      </c>
      <c r="AN76" s="10">
        <v>4377.3333333333339</v>
      </c>
      <c r="AO76" s="10">
        <v>4377.3333333333339</v>
      </c>
      <c r="AP76" s="10">
        <v>4377.3333333333339</v>
      </c>
      <c r="AQ76" s="10">
        <v>4377.3333333333339</v>
      </c>
      <c r="AR76" s="10">
        <v>4377.3333333333339</v>
      </c>
      <c r="AS76" s="10">
        <v>4377.3333333333339</v>
      </c>
      <c r="AT76" s="10">
        <v>3136</v>
      </c>
      <c r="AU76" s="10">
        <v>3136</v>
      </c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</row>
    <row r="77" spans="14:70" x14ac:dyDescent="0.35">
      <c r="N77" s="10">
        <f t="shared" si="1"/>
        <v>1103088</v>
      </c>
      <c r="O77">
        <v>70</v>
      </c>
      <c r="P77">
        <v>65</v>
      </c>
      <c r="Q77" t="b">
        <v>1</v>
      </c>
      <c r="R77" t="b">
        <v>1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4508</v>
      </c>
      <c r="AB77" s="10">
        <v>4508</v>
      </c>
      <c r="AC77" s="10">
        <v>4508</v>
      </c>
      <c r="AD77" s="10">
        <v>4508</v>
      </c>
      <c r="AE77" s="10">
        <v>4508</v>
      </c>
      <c r="AF77" s="10">
        <v>4508</v>
      </c>
      <c r="AG77" s="10">
        <v>4508</v>
      </c>
      <c r="AH77" s="10">
        <v>4508</v>
      </c>
      <c r="AI77" s="10">
        <v>4508</v>
      </c>
      <c r="AJ77" s="10">
        <v>4508</v>
      </c>
      <c r="AK77" s="10">
        <v>4508</v>
      </c>
      <c r="AL77" s="10">
        <v>4508</v>
      </c>
      <c r="AM77" s="10">
        <v>4508</v>
      </c>
      <c r="AN77" s="10">
        <v>4508</v>
      </c>
      <c r="AO77" s="10">
        <v>4508</v>
      </c>
      <c r="AP77" s="10">
        <v>4508</v>
      </c>
      <c r="AQ77" s="10">
        <v>4508</v>
      </c>
      <c r="AR77" s="10">
        <v>4508</v>
      </c>
      <c r="AS77" s="10">
        <v>4508</v>
      </c>
      <c r="AT77" s="10">
        <v>3136</v>
      </c>
      <c r="AU77" s="10">
        <v>3136</v>
      </c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</row>
    <row r="78" spans="14:70" x14ac:dyDescent="0.35">
      <c r="N78" s="10">
        <f t="shared" si="1"/>
        <v>1132880</v>
      </c>
      <c r="O78">
        <v>70</v>
      </c>
      <c r="P78">
        <v>66</v>
      </c>
      <c r="Q78" t="b">
        <v>1</v>
      </c>
      <c r="R78" t="b">
        <v>1</v>
      </c>
      <c r="S78" s="10">
        <v>0</v>
      </c>
      <c r="T78" s="10">
        <v>0</v>
      </c>
      <c r="U78" s="10">
        <v>0</v>
      </c>
      <c r="V78" s="10">
        <v>0</v>
      </c>
      <c r="W78" s="10">
        <v>0</v>
      </c>
      <c r="X78" s="10">
        <v>0</v>
      </c>
      <c r="Y78" s="10">
        <v>0</v>
      </c>
      <c r="Z78" s="10">
        <v>0</v>
      </c>
      <c r="AA78" s="10">
        <v>4638.666666666667</v>
      </c>
      <c r="AB78" s="10">
        <v>4638.666666666667</v>
      </c>
      <c r="AC78" s="10">
        <v>4638.666666666667</v>
      </c>
      <c r="AD78" s="10">
        <v>4638.666666666667</v>
      </c>
      <c r="AE78" s="10">
        <v>4638.666666666667</v>
      </c>
      <c r="AF78" s="10">
        <v>4638.666666666667</v>
      </c>
      <c r="AG78" s="10">
        <v>4638.666666666667</v>
      </c>
      <c r="AH78" s="10">
        <v>4638.666666666667</v>
      </c>
      <c r="AI78" s="10">
        <v>4638.666666666667</v>
      </c>
      <c r="AJ78" s="10">
        <v>4638.666666666667</v>
      </c>
      <c r="AK78" s="10">
        <v>4638.666666666667</v>
      </c>
      <c r="AL78" s="10">
        <v>4638.666666666667</v>
      </c>
      <c r="AM78" s="10">
        <v>4638.666666666667</v>
      </c>
      <c r="AN78" s="10">
        <v>4638.666666666667</v>
      </c>
      <c r="AO78" s="10">
        <v>4638.666666666667</v>
      </c>
      <c r="AP78" s="10">
        <v>4638.666666666667</v>
      </c>
      <c r="AQ78" s="10">
        <v>4638.666666666667</v>
      </c>
      <c r="AR78" s="10">
        <v>4638.666666666667</v>
      </c>
      <c r="AS78" s="10">
        <v>4638.666666666667</v>
      </c>
      <c r="AT78" s="10">
        <v>3136</v>
      </c>
      <c r="AU78" s="10">
        <v>3136</v>
      </c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</row>
    <row r="79" spans="14:70" x14ac:dyDescent="0.35">
      <c r="N79" s="10">
        <f t="shared" si="1"/>
        <v>1147776</v>
      </c>
      <c r="O79">
        <v>70</v>
      </c>
      <c r="P79">
        <v>67</v>
      </c>
      <c r="Q79" t="b">
        <v>1</v>
      </c>
      <c r="R79" t="b">
        <v>1</v>
      </c>
      <c r="S79" s="10">
        <v>0</v>
      </c>
      <c r="T79" s="10">
        <v>0</v>
      </c>
      <c r="U79" s="10">
        <v>0</v>
      </c>
      <c r="V79" s="10">
        <v>0</v>
      </c>
      <c r="W79" s="10">
        <v>0</v>
      </c>
      <c r="X79" s="10">
        <v>0</v>
      </c>
      <c r="Y79" s="10">
        <v>0</v>
      </c>
      <c r="Z79" s="10">
        <v>0</v>
      </c>
      <c r="AA79" s="10">
        <v>4704</v>
      </c>
      <c r="AB79" s="10">
        <v>4704</v>
      </c>
      <c r="AC79" s="10">
        <v>4704</v>
      </c>
      <c r="AD79" s="10">
        <v>4704</v>
      </c>
      <c r="AE79" s="10">
        <v>4704</v>
      </c>
      <c r="AF79" s="10">
        <v>4704</v>
      </c>
      <c r="AG79" s="10">
        <v>4704</v>
      </c>
      <c r="AH79" s="10">
        <v>4704</v>
      </c>
      <c r="AI79" s="10">
        <v>4704</v>
      </c>
      <c r="AJ79" s="10">
        <v>4704</v>
      </c>
      <c r="AK79" s="10">
        <v>4704</v>
      </c>
      <c r="AL79" s="10">
        <v>4704</v>
      </c>
      <c r="AM79" s="10">
        <v>4704</v>
      </c>
      <c r="AN79" s="10">
        <v>4704</v>
      </c>
      <c r="AO79" s="10">
        <v>4704</v>
      </c>
      <c r="AP79" s="10">
        <v>4704</v>
      </c>
      <c r="AQ79" s="10">
        <v>4704</v>
      </c>
      <c r="AR79" s="10">
        <v>4704</v>
      </c>
      <c r="AS79" s="10">
        <v>4704</v>
      </c>
      <c r="AT79" s="10">
        <v>3136</v>
      </c>
      <c r="AU79" s="10">
        <v>3136</v>
      </c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</row>
    <row r="80" spans="14:70" x14ac:dyDescent="0.35">
      <c r="N80" s="10">
        <f t="shared" si="1"/>
        <v>1147776</v>
      </c>
      <c r="O80">
        <v>70</v>
      </c>
      <c r="P80">
        <v>68</v>
      </c>
      <c r="Q80" t="b">
        <v>1</v>
      </c>
      <c r="R80" t="b">
        <v>1</v>
      </c>
      <c r="S80" s="10">
        <v>0</v>
      </c>
      <c r="T80" s="10">
        <v>0</v>
      </c>
      <c r="U80" s="10">
        <v>0</v>
      </c>
      <c r="V80" s="10">
        <v>0</v>
      </c>
      <c r="W80" s="10">
        <v>0</v>
      </c>
      <c r="X80" s="10">
        <v>0</v>
      </c>
      <c r="Y80" s="10">
        <v>0</v>
      </c>
      <c r="Z80" s="10">
        <v>0</v>
      </c>
      <c r="AA80" s="10">
        <v>4704</v>
      </c>
      <c r="AB80" s="10">
        <v>4704</v>
      </c>
      <c r="AC80" s="10">
        <v>4704</v>
      </c>
      <c r="AD80" s="10">
        <v>4704</v>
      </c>
      <c r="AE80" s="10">
        <v>4704</v>
      </c>
      <c r="AF80" s="10">
        <v>4704</v>
      </c>
      <c r="AG80" s="10">
        <v>4704</v>
      </c>
      <c r="AH80" s="10">
        <v>4704</v>
      </c>
      <c r="AI80" s="10">
        <v>4704</v>
      </c>
      <c r="AJ80" s="10">
        <v>4704</v>
      </c>
      <c r="AK80" s="10">
        <v>4704</v>
      </c>
      <c r="AL80" s="10">
        <v>4704</v>
      </c>
      <c r="AM80" s="10">
        <v>4704</v>
      </c>
      <c r="AN80" s="10">
        <v>4704</v>
      </c>
      <c r="AO80" s="10">
        <v>4704</v>
      </c>
      <c r="AP80" s="10">
        <v>4704</v>
      </c>
      <c r="AQ80" s="10">
        <v>4704</v>
      </c>
      <c r="AR80" s="10">
        <v>4704</v>
      </c>
      <c r="AS80" s="10">
        <v>4704</v>
      </c>
      <c r="AT80" s="10">
        <v>3136</v>
      </c>
      <c r="AU80" s="10">
        <v>3136</v>
      </c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</row>
    <row r="81" spans="14:70" x14ac:dyDescent="0.35">
      <c r="N81" s="10">
        <f t="shared" si="1"/>
        <v>1147776</v>
      </c>
      <c r="O81">
        <v>70</v>
      </c>
      <c r="P81">
        <v>69</v>
      </c>
      <c r="Q81" t="b">
        <v>1</v>
      </c>
      <c r="R81" t="b">
        <v>1</v>
      </c>
      <c r="S81" s="10">
        <v>0</v>
      </c>
      <c r="T81" s="10">
        <v>0</v>
      </c>
      <c r="U81" s="10">
        <v>0</v>
      </c>
      <c r="V81" s="10">
        <v>0</v>
      </c>
      <c r="W81" s="10">
        <v>0</v>
      </c>
      <c r="X81" s="10">
        <v>0</v>
      </c>
      <c r="Y81" s="10">
        <v>0</v>
      </c>
      <c r="Z81" s="10">
        <v>0</v>
      </c>
      <c r="AA81" s="10">
        <v>4704</v>
      </c>
      <c r="AB81" s="10">
        <v>4704</v>
      </c>
      <c r="AC81" s="10">
        <v>4704</v>
      </c>
      <c r="AD81" s="10">
        <v>4704</v>
      </c>
      <c r="AE81" s="10">
        <v>4704</v>
      </c>
      <c r="AF81" s="10">
        <v>4704</v>
      </c>
      <c r="AG81" s="10">
        <v>4704</v>
      </c>
      <c r="AH81" s="10">
        <v>4704</v>
      </c>
      <c r="AI81" s="10">
        <v>4704</v>
      </c>
      <c r="AJ81" s="10">
        <v>4704</v>
      </c>
      <c r="AK81" s="10">
        <v>4704</v>
      </c>
      <c r="AL81" s="10">
        <v>4704</v>
      </c>
      <c r="AM81" s="10">
        <v>4704</v>
      </c>
      <c r="AN81" s="10">
        <v>4704</v>
      </c>
      <c r="AO81" s="10">
        <v>4704</v>
      </c>
      <c r="AP81" s="10">
        <v>4704</v>
      </c>
      <c r="AQ81" s="10">
        <v>4704</v>
      </c>
      <c r="AR81" s="10">
        <v>4704</v>
      </c>
      <c r="AS81" s="10">
        <v>4704</v>
      </c>
      <c r="AT81" s="10">
        <v>3136</v>
      </c>
      <c r="AU81" s="10">
        <v>3136</v>
      </c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</row>
    <row r="82" spans="14:70" x14ac:dyDescent="0.35">
      <c r="N82" s="10">
        <f t="shared" si="1"/>
        <v>1147776</v>
      </c>
      <c r="O82">
        <v>70</v>
      </c>
      <c r="P82">
        <v>70</v>
      </c>
      <c r="Q82" t="b">
        <v>1</v>
      </c>
      <c r="R82" t="b">
        <v>1</v>
      </c>
      <c r="S82" s="10">
        <v>0</v>
      </c>
      <c r="T82" s="10">
        <v>0</v>
      </c>
      <c r="U82" s="10">
        <v>0</v>
      </c>
      <c r="V82" s="10">
        <v>0</v>
      </c>
      <c r="W82" s="10">
        <v>0</v>
      </c>
      <c r="X82" s="10">
        <v>0</v>
      </c>
      <c r="Y82" s="10">
        <v>0</v>
      </c>
      <c r="Z82" s="10">
        <v>0</v>
      </c>
      <c r="AA82" s="10">
        <v>4704</v>
      </c>
      <c r="AB82" s="10">
        <v>4704</v>
      </c>
      <c r="AC82" s="10">
        <v>4704</v>
      </c>
      <c r="AD82" s="10">
        <v>4704</v>
      </c>
      <c r="AE82" s="10">
        <v>4704</v>
      </c>
      <c r="AF82" s="10">
        <v>4704</v>
      </c>
      <c r="AG82" s="10">
        <v>4704</v>
      </c>
      <c r="AH82" s="10">
        <v>4704</v>
      </c>
      <c r="AI82" s="10">
        <v>4704</v>
      </c>
      <c r="AJ82" s="10">
        <v>4704</v>
      </c>
      <c r="AK82" s="10">
        <v>4704</v>
      </c>
      <c r="AL82" s="10">
        <v>4704</v>
      </c>
      <c r="AM82" s="10">
        <v>4704</v>
      </c>
      <c r="AN82" s="10">
        <v>4704</v>
      </c>
      <c r="AO82" s="10">
        <v>4704</v>
      </c>
      <c r="AP82" s="10">
        <v>4704</v>
      </c>
      <c r="AQ82" s="10">
        <v>4704</v>
      </c>
      <c r="AR82" s="10">
        <v>4704</v>
      </c>
      <c r="AS82" s="10">
        <v>4704</v>
      </c>
      <c r="AT82" s="10">
        <v>3136</v>
      </c>
      <c r="AU82" s="10">
        <v>3136</v>
      </c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</row>
  </sheetData>
  <mergeCells count="1">
    <mergeCell ref="G6:K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timizeSSClaiming">
                <anchor moveWithCells="1" sizeWithCells="1">
                  <from>
                    <xdr:col>9</xdr:col>
                    <xdr:colOff>304800</xdr:colOff>
                    <xdr:row>0</xdr:row>
                    <xdr:rowOff>123825</xdr:rowOff>
                  </from>
                  <to>
                    <xdr:col>10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5"/>
  <sheetViews>
    <sheetView workbookViewId="0">
      <selection activeCell="B2" sqref="B2"/>
    </sheetView>
  </sheetViews>
  <sheetFormatPr defaultRowHeight="12.75" x14ac:dyDescent="0.35"/>
  <cols>
    <col min="2" max="2" width="14" bestFit="1" customWidth="1"/>
    <col min="3" max="3" width="13.3984375" bestFit="1" customWidth="1"/>
    <col min="4" max="4" width="9.73046875" bestFit="1" customWidth="1"/>
  </cols>
  <sheetData>
    <row r="1" spans="1:4" x14ac:dyDescent="0.35">
      <c r="A1" t="s">
        <v>800</v>
      </c>
      <c r="B1">
        <v>1</v>
      </c>
    </row>
    <row r="2" spans="1:4" x14ac:dyDescent="0.35">
      <c r="A2" t="s">
        <v>802</v>
      </c>
      <c r="B2" s="40">
        <v>5.0000000000000001E-3</v>
      </c>
    </row>
    <row r="3" spans="1:4" x14ac:dyDescent="0.35">
      <c r="A3" t="s">
        <v>801</v>
      </c>
    </row>
    <row r="4" spans="1:4" x14ac:dyDescent="0.35">
      <c r="A4">
        <v>1</v>
      </c>
      <c r="B4" s="8">
        <f>-PMT($B$2,A4,$B$1)</f>
        <v>1.0049999999999999</v>
      </c>
      <c r="C4" s="8">
        <f>PV(0,A4,-B4)</f>
        <v>1.0049999999999999</v>
      </c>
    </row>
    <row r="5" spans="1:4" x14ac:dyDescent="0.35">
      <c r="A5">
        <v>2</v>
      </c>
      <c r="B5" s="8">
        <f t="shared" ref="B5:B35" si="0">-PMT($B$2,A5,$B$1)</f>
        <v>0.50375311720698246</v>
      </c>
      <c r="C5" s="8">
        <f t="shared" ref="C5:C35" si="1">PV(0,A5,-B5)</f>
        <v>1.0075062344139649</v>
      </c>
      <c r="D5" s="9">
        <f>C5-C4</f>
        <v>2.506234413965025E-3</v>
      </c>
    </row>
    <row r="6" spans="1:4" x14ac:dyDescent="0.35">
      <c r="A6">
        <v>3</v>
      </c>
      <c r="B6" s="8">
        <f t="shared" si="0"/>
        <v>0.33667220835648126</v>
      </c>
      <c r="C6" s="8">
        <f t="shared" si="1"/>
        <v>1.0100166250694438</v>
      </c>
      <c r="D6" s="9">
        <f t="shared" ref="D6:D35" si="2">C6-C5</f>
        <v>2.5103906554788669E-3</v>
      </c>
    </row>
    <row r="7" spans="1:4" x14ac:dyDescent="0.35">
      <c r="A7">
        <v>4</v>
      </c>
      <c r="B7" s="8">
        <f t="shared" si="0"/>
        <v>0.25313279297868557</v>
      </c>
      <c r="C7" s="8">
        <f t="shared" si="1"/>
        <v>1.0125311719147423</v>
      </c>
      <c r="D7" s="9">
        <f t="shared" si="2"/>
        <v>2.5145468452985043E-3</v>
      </c>
    </row>
    <row r="8" spans="1:4" x14ac:dyDescent="0.35">
      <c r="A8">
        <v>5</v>
      </c>
      <c r="B8" s="8">
        <f t="shared" si="0"/>
        <v>0.20300997497549808</v>
      </c>
      <c r="C8" s="8">
        <f t="shared" si="1"/>
        <v>1.0150498748774903</v>
      </c>
      <c r="D8" s="9">
        <f t="shared" si="2"/>
        <v>2.5187029627480317E-3</v>
      </c>
    </row>
    <row r="9" spans="1:4" x14ac:dyDescent="0.35">
      <c r="A9">
        <v>6</v>
      </c>
      <c r="B9" s="8">
        <f t="shared" si="0"/>
        <v>0.16959545564410713</v>
      </c>
      <c r="C9" s="8">
        <f t="shared" si="1"/>
        <v>1.0175727338646428</v>
      </c>
      <c r="D9" s="9">
        <f t="shared" si="2"/>
        <v>2.5228589871524321E-3</v>
      </c>
    </row>
    <row r="10" spans="1:4" x14ac:dyDescent="0.35">
      <c r="A10">
        <v>7</v>
      </c>
      <c r="B10" s="8">
        <f t="shared" si="0"/>
        <v>0.14572853553749737</v>
      </c>
      <c r="C10" s="8">
        <f t="shared" si="1"/>
        <v>1.0200997487624817</v>
      </c>
      <c r="D10" s="9">
        <f t="shared" si="2"/>
        <v>2.5270148978389084E-3</v>
      </c>
    </row>
    <row r="11" spans="1:4" x14ac:dyDescent="0.35">
      <c r="A11">
        <v>8</v>
      </c>
      <c r="B11" s="8">
        <f t="shared" si="0"/>
        <v>0.12782886492957704</v>
      </c>
      <c r="C11" s="8">
        <f t="shared" si="1"/>
        <v>1.0226309194366163</v>
      </c>
      <c r="D11" s="9">
        <f t="shared" si="2"/>
        <v>2.531170674134664E-3</v>
      </c>
    </row>
    <row r="12" spans="1:4" x14ac:dyDescent="0.35">
      <c r="A12">
        <v>9</v>
      </c>
      <c r="B12" s="8">
        <f t="shared" si="0"/>
        <v>0.11390736063688758</v>
      </c>
      <c r="C12" s="8">
        <f t="shared" si="1"/>
        <v>1.0251662457319883</v>
      </c>
      <c r="D12" s="9">
        <f t="shared" si="2"/>
        <v>2.535326295372009E-3</v>
      </c>
    </row>
    <row r="13" spans="1:4" x14ac:dyDescent="0.35">
      <c r="A13">
        <v>10</v>
      </c>
      <c r="B13" s="8">
        <f t="shared" si="0"/>
        <v>0.10277057274728728</v>
      </c>
      <c r="C13" s="8">
        <f t="shared" si="1"/>
        <v>1.0277057274728727</v>
      </c>
      <c r="D13" s="9">
        <f t="shared" si="2"/>
        <v>2.539481740884364E-3</v>
      </c>
    </row>
    <row r="14" spans="1:4" x14ac:dyDescent="0.35">
      <c r="A14">
        <v>11</v>
      </c>
      <c r="B14" s="8">
        <f t="shared" si="0"/>
        <v>9.3659033132989261E-2</v>
      </c>
      <c r="C14" s="8">
        <f t="shared" si="1"/>
        <v>1.0302493644628818</v>
      </c>
      <c r="D14" s="9">
        <f t="shared" si="2"/>
        <v>2.543636990009146E-3</v>
      </c>
    </row>
    <row r="15" spans="1:4" x14ac:dyDescent="0.35">
      <c r="A15">
        <v>12</v>
      </c>
      <c r="B15" s="8">
        <f t="shared" si="0"/>
        <v>8.6066429707080644E-2</v>
      </c>
      <c r="C15" s="8">
        <f t="shared" si="1"/>
        <v>1.0327971564849676</v>
      </c>
      <c r="D15" s="9">
        <f t="shared" si="2"/>
        <v>2.5477920220857708E-3</v>
      </c>
    </row>
    <row r="16" spans="1:4" x14ac:dyDescent="0.35">
      <c r="A16">
        <v>13</v>
      </c>
      <c r="B16" s="8">
        <f t="shared" si="0"/>
        <v>7.9642238715494418E-2</v>
      </c>
      <c r="C16" s="8">
        <f t="shared" si="1"/>
        <v>1.0353491033014275</v>
      </c>
      <c r="D16" s="9">
        <f t="shared" si="2"/>
        <v>2.5519468164598713E-3</v>
      </c>
    </row>
    <row r="17" spans="1:4" x14ac:dyDescent="0.35">
      <c r="A17">
        <v>14</v>
      </c>
      <c r="B17" s="8">
        <f t="shared" si="0"/>
        <v>7.4136086046707572E-2</v>
      </c>
      <c r="C17" s="8">
        <f t="shared" si="1"/>
        <v>1.0379052046539061</v>
      </c>
      <c r="D17" s="9">
        <f t="shared" si="2"/>
        <v>2.5561013524786347E-3</v>
      </c>
    </row>
    <row r="18" spans="1:4" x14ac:dyDescent="0.35">
      <c r="A18">
        <v>15</v>
      </c>
      <c r="B18" s="8">
        <f t="shared" si="0"/>
        <v>6.9364364017560118E-2</v>
      </c>
      <c r="C18" s="8">
        <f t="shared" si="1"/>
        <v>1.0404654602634018</v>
      </c>
      <c r="D18" s="9">
        <f t="shared" si="2"/>
        <v>2.5602556094956874E-3</v>
      </c>
    </row>
    <row r="19" spans="1:4" x14ac:dyDescent="0.35">
      <c r="A19">
        <v>16</v>
      </c>
      <c r="B19" s="8">
        <f t="shared" si="0"/>
        <v>6.5189366864391959E-2</v>
      </c>
      <c r="C19" s="8">
        <f t="shared" si="1"/>
        <v>1.0430298698302714</v>
      </c>
      <c r="D19" s="9">
        <f t="shared" si="2"/>
        <v>2.564409566869541E-3</v>
      </c>
    </row>
    <row r="20" spans="1:4" x14ac:dyDescent="0.35">
      <c r="A20">
        <v>17</v>
      </c>
      <c r="B20" s="8">
        <f t="shared" si="0"/>
        <v>6.1505790178484399E-2</v>
      </c>
      <c r="C20" s="8">
        <f t="shared" si="1"/>
        <v>1.0455984330342347</v>
      </c>
      <c r="D20" s="9">
        <f t="shared" si="2"/>
        <v>2.5685632039633699E-3</v>
      </c>
    </row>
    <row r="21" spans="1:4" x14ac:dyDescent="0.35">
      <c r="A21">
        <v>18</v>
      </c>
      <c r="B21" s="8">
        <f t="shared" si="0"/>
        <v>5.8231730529687775E-2</v>
      </c>
      <c r="C21" s="8">
        <f t="shared" si="1"/>
        <v>1.04817114953438</v>
      </c>
      <c r="D21" s="9">
        <f t="shared" si="2"/>
        <v>2.5727165001452335E-3</v>
      </c>
    </row>
    <row r="22" spans="1:4" x14ac:dyDescent="0.35">
      <c r="A22">
        <v>19</v>
      </c>
      <c r="B22" s="8">
        <f t="shared" si="0"/>
        <v>5.5302527314166953E-2</v>
      </c>
      <c r="C22" s="8">
        <f t="shared" si="1"/>
        <v>1.050748018969172</v>
      </c>
      <c r="D22" s="9">
        <f t="shared" si="2"/>
        <v>2.5768694347920729E-3</v>
      </c>
    </row>
    <row r="23" spans="1:4" x14ac:dyDescent="0.35">
      <c r="A23">
        <v>20</v>
      </c>
      <c r="B23" s="8">
        <f t="shared" si="0"/>
        <v>5.2666452047822804E-2</v>
      </c>
      <c r="C23" s="8">
        <f t="shared" si="1"/>
        <v>1.0533290409564562</v>
      </c>
      <c r="D23" s="9">
        <f t="shared" si="2"/>
        <v>2.58102198728416E-3</v>
      </c>
    </row>
    <row r="24" spans="1:4" x14ac:dyDescent="0.35">
      <c r="A24">
        <v>21</v>
      </c>
      <c r="B24" s="8">
        <f t="shared" si="0"/>
        <v>5.0281629290165032E-2</v>
      </c>
      <c r="C24" s="8">
        <f t="shared" si="1"/>
        <v>1.0559142150934657</v>
      </c>
      <c r="D24" s="9">
        <f t="shared" si="2"/>
        <v>2.5851741370095382E-3</v>
      </c>
    </row>
    <row r="25" spans="1:4" x14ac:dyDescent="0.35">
      <c r="A25">
        <v>22</v>
      </c>
      <c r="B25" s="8">
        <f t="shared" si="0"/>
        <v>4.8113797316219571E-2</v>
      </c>
      <c r="C25" s="8">
        <f t="shared" si="1"/>
        <v>1.0585035409568306</v>
      </c>
      <c r="D25" s="9">
        <f t="shared" si="2"/>
        <v>2.5893258633649108E-3</v>
      </c>
    </row>
    <row r="26" spans="1:4" x14ac:dyDescent="0.35">
      <c r="A26">
        <v>23</v>
      </c>
      <c r="B26" s="8">
        <f t="shared" si="0"/>
        <v>4.6134652960981869E-2</v>
      </c>
      <c r="C26" s="8">
        <f t="shared" si="1"/>
        <v>1.0610970181025829</v>
      </c>
      <c r="D26" s="9">
        <f t="shared" si="2"/>
        <v>2.5934771457523098E-3</v>
      </c>
    </row>
    <row r="27" spans="1:4" x14ac:dyDescent="0.35">
      <c r="A27">
        <v>24</v>
      </c>
      <c r="B27" s="8">
        <f t="shared" si="0"/>
        <v>4.4320610252756895E-2</v>
      </c>
      <c r="C27" s="8">
        <f t="shared" si="1"/>
        <v>1.0636946460661654</v>
      </c>
      <c r="D27" s="9">
        <f t="shared" si="2"/>
        <v>2.5976279635824273E-3</v>
      </c>
    </row>
    <row r="28" spans="1:4" x14ac:dyDescent="0.35">
      <c r="A28">
        <v>25</v>
      </c>
      <c r="B28" s="8">
        <f t="shared" si="0"/>
        <v>4.2651856974497644E-2</v>
      </c>
      <c r="C28" s="8">
        <f t="shared" si="1"/>
        <v>1.0662964243624411</v>
      </c>
      <c r="D28" s="9">
        <f t="shared" si="2"/>
        <v>2.6017782962757252E-3</v>
      </c>
    </row>
    <row r="29" spans="1:4" x14ac:dyDescent="0.35">
      <c r="A29">
        <v>26</v>
      </c>
      <c r="B29" s="8">
        <f t="shared" si="0"/>
        <v>4.1111628941757669E-2</v>
      </c>
      <c r="C29" s="8">
        <f t="shared" si="1"/>
        <v>1.0689023524856993</v>
      </c>
      <c r="D29" s="9">
        <f t="shared" si="2"/>
        <v>2.6059281232582165E-3</v>
      </c>
    </row>
    <row r="30" spans="1:4" x14ac:dyDescent="0.35">
      <c r="A30">
        <v>27</v>
      </c>
      <c r="B30" s="8">
        <f t="shared" si="0"/>
        <v>3.9685645552209887E-2</v>
      </c>
      <c r="C30" s="8">
        <f t="shared" si="1"/>
        <v>1.071512429909667</v>
      </c>
      <c r="D30" s="9">
        <f t="shared" si="2"/>
        <v>2.6100774239676827E-3</v>
      </c>
    </row>
    <row r="31" spans="1:4" x14ac:dyDescent="0.35">
      <c r="A31">
        <v>28</v>
      </c>
      <c r="B31" s="8">
        <f t="shared" si="0"/>
        <v>3.8361666288839878E-2</v>
      </c>
      <c r="C31" s="8">
        <f t="shared" si="1"/>
        <v>1.0741266560875167</v>
      </c>
      <c r="D31" s="9">
        <f t="shared" si="2"/>
        <v>2.6142261778496767E-3</v>
      </c>
    </row>
    <row r="32" spans="1:4" x14ac:dyDescent="0.35">
      <c r="A32">
        <v>29</v>
      </c>
      <c r="B32" s="8">
        <f t="shared" si="0"/>
        <v>3.7129138981099187E-2</v>
      </c>
      <c r="C32" s="8">
        <f t="shared" si="1"/>
        <v>1.0767450304518764</v>
      </c>
      <c r="D32" s="9">
        <f t="shared" si="2"/>
        <v>2.6183743643597435E-3</v>
      </c>
    </row>
    <row r="33" spans="1:4" x14ac:dyDescent="0.35">
      <c r="A33">
        <v>30</v>
      </c>
      <c r="B33" s="8">
        <f t="shared" si="0"/>
        <v>3.5978918413828026E-2</v>
      </c>
      <c r="C33" s="8">
        <f t="shared" si="1"/>
        <v>1.0793675524148407</v>
      </c>
      <c r="D33" s="9">
        <f t="shared" si="2"/>
        <v>2.6225219629643082E-3</v>
      </c>
    </row>
    <row r="34" spans="1:4" x14ac:dyDescent="0.35">
      <c r="A34">
        <v>31</v>
      </c>
      <c r="B34" s="8">
        <f t="shared" si="0"/>
        <v>3.4903039398967113E-2</v>
      </c>
      <c r="C34" s="8">
        <f t="shared" si="1"/>
        <v>1.0819942213679805</v>
      </c>
      <c r="D34" s="9">
        <f t="shared" si="2"/>
        <v>2.626668953139788E-3</v>
      </c>
    </row>
    <row r="35" spans="1:4" x14ac:dyDescent="0.35">
      <c r="A35">
        <v>32</v>
      </c>
      <c r="B35" s="8">
        <f t="shared" si="0"/>
        <v>3.3894532396323507E-2</v>
      </c>
      <c r="C35" s="8">
        <f t="shared" si="1"/>
        <v>1.0846250366823522</v>
      </c>
      <c r="D35" s="9">
        <f t="shared" si="2"/>
        <v>2.6308153143717039E-3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 Lookup</vt:lpstr>
      <vt:lpstr>SS Optimize</vt:lpstr>
      <vt:lpstr>Value of Def</vt:lpstr>
    </vt:vector>
  </TitlesOfParts>
  <Company>Axolot Data XLSReadWriteII 4.00.49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Cosmano, Brian</dc:creator>
  <cp:lastModifiedBy>Brian Cosmano</cp:lastModifiedBy>
  <dcterms:created xsi:type="dcterms:W3CDTF">2017-06-02T11:55:53Z</dcterms:created>
  <dcterms:modified xsi:type="dcterms:W3CDTF">2018-01-17T04:54:26Z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</mso:documentControls>
    </mso:qat>
  </mso:ribbon>
</mso:customUI>
</file>